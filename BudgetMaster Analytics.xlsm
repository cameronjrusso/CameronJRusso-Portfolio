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mc:AlternateContent xmlns:mc="http://schemas.openxmlformats.org/markup-compatibility/2006">
    <mc:Choice Requires="x15">
      <x15ac:absPath xmlns:x15ac="http://schemas.microsoft.com/office/spreadsheetml/2010/11/ac" url="D:\School\CIS114DE\Final Project\"/>
    </mc:Choice>
  </mc:AlternateContent>
  <xr:revisionPtr revIDLastSave="0" documentId="13_ncr:1_{A7874E2F-774F-4799-A18B-F6D77E8EBB0B}" xr6:coauthVersionLast="36" xr6:coauthVersionMax="47" xr10:uidLastSave="{00000000-0000-0000-0000-000000000000}"/>
  <bookViews>
    <workbookView xWindow="-120" yWindow="-120" windowWidth="29040" windowHeight="15720" xr2:uid="{1A65184E-C303-460B-987B-9CF466E2A38C}"/>
  </bookViews>
  <sheets>
    <sheet name="Summary" sheetId="11" r:id="rId1"/>
    <sheet name="All Expenses" sheetId="4" r:id="rId2"/>
    <sheet name="Income" sheetId="6" r:id="rId3"/>
    <sheet name="Jan - March Budget" sheetId="16" r:id="rId4"/>
    <sheet name="April - June Budget " sheetId="17" r:id="rId5"/>
    <sheet name="Loan Sheet" sheetId="18" r:id="rId6"/>
    <sheet name="Categories" sheetId="3" r:id="rId7"/>
    <sheet name="Pivot 1" sheetId="12" r:id="rId8"/>
    <sheet name="Pivot 2" sheetId="13" r:id="rId9"/>
    <sheet name="Pivot 3" sheetId="15" r:id="rId10"/>
  </sheets>
  <definedNames>
    <definedName name="_xlnm._FilterDatabase" localSheetId="1" hidden="1">'All Expenses'!$H$3:$K$94</definedName>
    <definedName name="_xlnm._FilterDatabase" localSheetId="2" hidden="1">Income!$G$3:$J$94</definedName>
    <definedName name="Debts">Categories!$H$3:$H$1048576</definedName>
    <definedName name="Food">Categories!$D$3:$D$1048576</definedName>
    <definedName name="Housing">Categories!$B$3:$B$1048576</definedName>
    <definedName name="Insurance">Categories!$F$3:$F$1048576</definedName>
    <definedName name="Leisure">Categories!$G$3:$G$1048576</definedName>
    <definedName name="Personal">Categories!$I$3:$I$1048576</definedName>
    <definedName name="Slicer_Months__Date">#N/A</definedName>
    <definedName name="Slicer_Payment_Source">#N/A</definedName>
    <definedName name="Transportation">Categories!$C$3:$C$1048576</definedName>
    <definedName name="Utilities">Categories!$E$3:$E$1048576</definedName>
  </definedNames>
  <calcPr calcId="162913"/>
  <pivotCaches>
    <pivotCache cacheId="0" r:id="rId11"/>
    <pivotCache cacheId="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29" i="16" l="1"/>
  <c r="K29" i="16"/>
  <c r="E29" i="16"/>
  <c r="A10" i="18"/>
  <c r="E11" i="18"/>
  <c r="D11" i="18"/>
  <c r="D12" i="18"/>
  <c r="D13" i="18"/>
  <c r="D14" i="18"/>
  <c r="C11" i="18"/>
  <c r="C12" i="18"/>
  <c r="E12" i="18" s="1"/>
  <c r="C13" i="18"/>
  <c r="E13" i="18" s="1"/>
  <c r="C14" i="18"/>
  <c r="E14" i="18" s="1"/>
  <c r="D10" i="18"/>
  <c r="C10" i="18" l="1"/>
  <c r="E10" i="18" s="1"/>
  <c r="F10" i="18" s="1"/>
  <c r="B4" i="18"/>
  <c r="D22" i="16"/>
  <c r="D23" i="16"/>
  <c r="D24" i="16"/>
  <c r="D25" i="16"/>
  <c r="D26" i="16"/>
  <c r="D27" i="16"/>
  <c r="D28" i="16"/>
  <c r="Q8" i="17"/>
  <c r="Q9" i="17"/>
  <c r="Q10" i="17"/>
  <c r="Q11" i="17"/>
  <c r="Q12" i="17"/>
  <c r="Q13" i="17"/>
  <c r="Q14" i="17"/>
  <c r="Q15" i="17"/>
  <c r="Q16" i="17"/>
  <c r="Q17" i="17"/>
  <c r="Q18" i="17"/>
  <c r="Q19" i="17"/>
  <c r="Q20" i="17"/>
  <c r="Q21" i="17"/>
  <c r="Q22" i="17"/>
  <c r="Q23" i="17"/>
  <c r="Q24" i="17"/>
  <c r="Q25" i="17"/>
  <c r="Q26" i="17"/>
  <c r="Q27" i="17"/>
  <c r="Q28" i="17"/>
  <c r="Q29" i="17"/>
  <c r="Q30" i="17"/>
  <c r="Q31" i="17"/>
  <c r="Q32" i="17"/>
  <c r="Q33" i="17"/>
  <c r="Q34" i="17"/>
  <c r="Q35" i="17"/>
  <c r="Q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7" i="17"/>
  <c r="O7" i="17" a="1"/>
  <c r="M7" i="17" a="1"/>
  <c r="I7" i="17"/>
  <c r="I7" i="17" a="1"/>
  <c r="G7" i="17" a="1"/>
  <c r="C7" i="17" a="1"/>
  <c r="A7" i="17" a="1"/>
  <c r="O7" i="16" a="1"/>
  <c r="P8" i="16" s="1"/>
  <c r="M7" i="16" a="1"/>
  <c r="I7" i="16" a="1"/>
  <c r="I7" i="16" s="1"/>
  <c r="J7" i="16" s="1"/>
  <c r="C7" i="16" a="1"/>
  <c r="C7" i="16" s="1"/>
  <c r="D7" i="16" s="1"/>
  <c r="G7" i="16" a="1"/>
  <c r="G7" i="16" s="1"/>
  <c r="H7" i="16" s="1"/>
  <c r="A7" i="16" a="1"/>
  <c r="A7" i="16" s="1"/>
  <c r="B7" i="16" s="1"/>
  <c r="A11" i="18" l="1"/>
  <c r="F11" i="18"/>
  <c r="A7" i="17"/>
  <c r="B7" i="17" s="1"/>
  <c r="M7" i="17"/>
  <c r="N7" i="17" s="1"/>
  <c r="G7" i="17"/>
  <c r="H7" i="17" s="1"/>
  <c r="O7" i="17"/>
  <c r="C7" i="17"/>
  <c r="E23" i="16"/>
  <c r="K7" i="16"/>
  <c r="Q31" i="16"/>
  <c r="E31" i="16"/>
  <c r="E15" i="16"/>
  <c r="K28" i="16"/>
  <c r="K20" i="16"/>
  <c r="K12" i="16"/>
  <c r="Q33" i="16"/>
  <c r="Q25" i="16"/>
  <c r="Q17" i="16"/>
  <c r="E13" i="16"/>
  <c r="K10" i="16"/>
  <c r="E7" i="16"/>
  <c r="E20" i="16"/>
  <c r="K25" i="16"/>
  <c r="Q14" i="16"/>
  <c r="E21" i="16"/>
  <c r="K34" i="16"/>
  <c r="K26" i="16"/>
  <c r="K18" i="16"/>
  <c r="Q23" i="16"/>
  <c r="Q15" i="16"/>
  <c r="E28" i="16"/>
  <c r="E12" i="16"/>
  <c r="K33" i="16"/>
  <c r="K17" i="16"/>
  <c r="K9" i="16"/>
  <c r="Q30" i="16"/>
  <c r="Q22" i="16"/>
  <c r="E35" i="16"/>
  <c r="E27" i="16"/>
  <c r="E19" i="16"/>
  <c r="E11" i="16"/>
  <c r="K32" i="16"/>
  <c r="K24" i="16"/>
  <c r="K16" i="16"/>
  <c r="K8" i="16"/>
  <c r="Q21" i="16"/>
  <c r="Q13" i="16"/>
  <c r="E34" i="16"/>
  <c r="E26" i="16"/>
  <c r="E18" i="16"/>
  <c r="E10" i="16"/>
  <c r="K31" i="16"/>
  <c r="K23" i="16"/>
  <c r="K15" i="16"/>
  <c r="Q28" i="16"/>
  <c r="Q20" i="16"/>
  <c r="Q12" i="16"/>
  <c r="E33" i="16"/>
  <c r="E25" i="16"/>
  <c r="E17" i="16"/>
  <c r="E9" i="16"/>
  <c r="K30" i="16"/>
  <c r="K22" i="16"/>
  <c r="K14" i="16"/>
  <c r="Q35" i="16"/>
  <c r="Q27" i="16"/>
  <c r="Q19" i="16"/>
  <c r="Q11" i="16"/>
  <c r="E32" i="16"/>
  <c r="E24" i="16"/>
  <c r="E16" i="16"/>
  <c r="E8" i="16"/>
  <c r="K21" i="16"/>
  <c r="K13" i="16"/>
  <c r="Q34" i="16"/>
  <c r="Q26" i="16"/>
  <c r="Q18" i="16"/>
  <c r="Q10" i="16"/>
  <c r="Q9" i="16"/>
  <c r="E30" i="16"/>
  <c r="E22" i="16"/>
  <c r="E14" i="16"/>
  <c r="K35" i="16"/>
  <c r="K27" i="16"/>
  <c r="K19" i="16"/>
  <c r="K11" i="16"/>
  <c r="Q32" i="16"/>
  <c r="Q24" i="16"/>
  <c r="Q16" i="16"/>
  <c r="Q8" i="16"/>
  <c r="J34" i="16"/>
  <c r="J26" i="16"/>
  <c r="J18" i="16"/>
  <c r="J10" i="16"/>
  <c r="P30" i="16"/>
  <c r="P22" i="16"/>
  <c r="P14" i="16"/>
  <c r="J33" i="16"/>
  <c r="J25" i="16"/>
  <c r="J17" i="16"/>
  <c r="J9" i="16"/>
  <c r="P29" i="16"/>
  <c r="P21" i="16"/>
  <c r="P13" i="16"/>
  <c r="J32" i="16"/>
  <c r="J24" i="16"/>
  <c r="J16" i="16"/>
  <c r="J8" i="16"/>
  <c r="P28" i="16"/>
  <c r="P20" i="16"/>
  <c r="P12" i="16"/>
  <c r="J31" i="16"/>
  <c r="J23" i="16"/>
  <c r="J15" i="16"/>
  <c r="P35" i="16"/>
  <c r="P27" i="16"/>
  <c r="P19" i="16"/>
  <c r="P11" i="16"/>
  <c r="J30" i="16"/>
  <c r="J22" i="16"/>
  <c r="J14" i="16"/>
  <c r="P34" i="16"/>
  <c r="P26" i="16"/>
  <c r="P18" i="16"/>
  <c r="P10" i="16"/>
  <c r="J35" i="16"/>
  <c r="J27" i="16"/>
  <c r="J19" i="16"/>
  <c r="J11" i="16"/>
  <c r="P31" i="16"/>
  <c r="P23" i="16"/>
  <c r="P15" i="16"/>
  <c r="J29" i="16"/>
  <c r="J21" i="16"/>
  <c r="J13" i="16"/>
  <c r="P33" i="16"/>
  <c r="P25" i="16"/>
  <c r="P17" i="16"/>
  <c r="P9" i="16"/>
  <c r="J28" i="16"/>
  <c r="J20" i="16"/>
  <c r="J12" i="16"/>
  <c r="P32" i="16"/>
  <c r="P24" i="16"/>
  <c r="P16" i="16"/>
  <c r="M7" i="16"/>
  <c r="N7" i="16" s="1"/>
  <c r="O7" i="16"/>
  <c r="D29" i="16"/>
  <c r="D21" i="16"/>
  <c r="D13" i="16"/>
  <c r="D20" i="16"/>
  <c r="D12" i="16"/>
  <c r="D16" i="16"/>
  <c r="D31" i="16"/>
  <c r="D15" i="16"/>
  <c r="D30" i="16"/>
  <c r="D14" i="16"/>
  <c r="D35" i="16"/>
  <c r="D19" i="16"/>
  <c r="D11" i="16"/>
  <c r="D18" i="16"/>
  <c r="D32" i="16"/>
  <c r="D34" i="16"/>
  <c r="D10" i="16"/>
  <c r="D33" i="16"/>
  <c r="D17" i="16"/>
  <c r="D9" i="16"/>
  <c r="D8" i="16"/>
  <c r="A12" i="18" l="1"/>
  <c r="F12" i="18"/>
  <c r="K5" i="17"/>
  <c r="J5" i="17"/>
  <c r="Q5" i="17"/>
  <c r="P5" i="17"/>
  <c r="D5" i="17"/>
  <c r="E5" i="17"/>
  <c r="K5" i="16"/>
  <c r="E5" i="16"/>
  <c r="P7" i="16"/>
  <c r="P5" i="16" s="1"/>
  <c r="Q7" i="16"/>
  <c r="Q5" i="16" s="1"/>
  <c r="J5" i="16"/>
  <c r="D5" i="16"/>
  <c r="F13" i="18" l="1"/>
  <c r="A13" i="18"/>
  <c r="F14" i="18" l="1"/>
  <c r="A14" i="18"/>
  <c r="O3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M10" i="17"/>
  <c r="N10" i="17" s="1"/>
  <c r="M9" i="17"/>
  <c r="N9" i="17" s="1"/>
  <c r="M8" i="17"/>
  <c r="N8" i="17" s="1"/>
  <c r="I35" i="17"/>
  <c r="I34" i="17"/>
  <c r="I33" i="17"/>
  <c r="I32" i="17"/>
  <c r="I31" i="17"/>
  <c r="I30" i="17"/>
  <c r="I29" i="17"/>
  <c r="I28" i="17"/>
  <c r="I27" i="17"/>
  <c r="I26" i="17"/>
  <c r="I25" i="17"/>
  <c r="I24" i="17"/>
  <c r="I23" i="17"/>
  <c r="I22" i="17"/>
  <c r="I21" i="17"/>
  <c r="I20" i="17"/>
  <c r="I19" i="17"/>
  <c r="I18" i="17"/>
  <c r="I17" i="17"/>
  <c r="I16" i="17"/>
  <c r="I15" i="17"/>
  <c r="I14" i="17"/>
  <c r="I13" i="17"/>
  <c r="I12" i="17"/>
  <c r="I11" i="17"/>
  <c r="I10" i="17"/>
  <c r="I9" i="17"/>
  <c r="I8" i="17"/>
  <c r="G10" i="17"/>
  <c r="H10" i="17" s="1"/>
  <c r="G9" i="17"/>
  <c r="H9" i="17" s="1"/>
  <c r="G8" i="17"/>
  <c r="H8" i="17" s="1"/>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A10" i="17"/>
  <c r="B10" i="17" s="1"/>
  <c r="A9" i="17"/>
  <c r="B9" i="17" s="1"/>
  <c r="A8" i="17"/>
  <c r="B8" i="17" s="1"/>
  <c r="B5" i="17" s="1"/>
  <c r="O35" i="16"/>
  <c r="O34" i="16"/>
  <c r="O33" i="16"/>
  <c r="O32" i="16"/>
  <c r="O31" i="16"/>
  <c r="O30" i="16"/>
  <c r="O29" i="16"/>
  <c r="O28" i="16"/>
  <c r="O27" i="16"/>
  <c r="O26" i="16"/>
  <c r="O25" i="16"/>
  <c r="O24" i="16"/>
  <c r="O23" i="16"/>
  <c r="O22" i="16"/>
  <c r="O21" i="16"/>
  <c r="O20" i="16"/>
  <c r="O19" i="16"/>
  <c r="O18" i="16"/>
  <c r="O17" i="16"/>
  <c r="O16" i="16"/>
  <c r="O15" i="16"/>
  <c r="O14" i="16"/>
  <c r="O13" i="16"/>
  <c r="O12" i="16"/>
  <c r="O11" i="16"/>
  <c r="O10" i="16"/>
  <c r="O9" i="16"/>
  <c r="O8" i="16"/>
  <c r="M10" i="16"/>
  <c r="N10" i="16" s="1"/>
  <c r="M9" i="16"/>
  <c r="N9" i="16" s="1"/>
  <c r="M8" i="16"/>
  <c r="N8" i="16" s="1"/>
  <c r="I35" i="16"/>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G10" i="16"/>
  <c r="H10" i="16" s="1"/>
  <c r="G9" i="16"/>
  <c r="H9" i="16" s="1"/>
  <c r="G8" i="16"/>
  <c r="H8" i="16" s="1"/>
  <c r="H5" i="16" s="1"/>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A10" i="16"/>
  <c r="B10" i="16" s="1"/>
  <c r="A9" i="16"/>
  <c r="B9" i="16" s="1"/>
  <c r="A8" i="16"/>
  <c r="B8" i="16" s="1"/>
  <c r="B5" i="16" s="1"/>
  <c r="H5" i="17" l="1"/>
  <c r="N5" i="16"/>
  <c r="N5" i="1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<sst xmlns="http://schemas.openxmlformats.org/spreadsheetml/2006/main" count="340" uniqueCount="92">
  <si>
    <t>Expense Category</t>
  </si>
  <si>
    <t>Enter Your Expenses Here</t>
  </si>
  <si>
    <t>Expense Type</t>
  </si>
  <si>
    <t>Expected Amount</t>
  </si>
  <si>
    <t>Actual Amount</t>
  </si>
  <si>
    <t>Housing</t>
  </si>
  <si>
    <t>Transportation</t>
  </si>
  <si>
    <t>Food</t>
  </si>
  <si>
    <t>Utilities</t>
  </si>
  <si>
    <t>Insurance</t>
  </si>
  <si>
    <t>Personal</t>
  </si>
  <si>
    <t>Rent</t>
  </si>
  <si>
    <t>Mortgage Payments</t>
  </si>
  <si>
    <t>Public Transport</t>
  </si>
  <si>
    <t>Vehicle Registration</t>
  </si>
  <si>
    <t>Fuel</t>
  </si>
  <si>
    <t>Running Cost</t>
  </si>
  <si>
    <t>Meals</t>
  </si>
  <si>
    <t>Groceries</t>
  </si>
  <si>
    <t>Electric</t>
  </si>
  <si>
    <t>Gas</t>
  </si>
  <si>
    <t xml:space="preserve">Water </t>
  </si>
  <si>
    <t>Heatng Bills</t>
  </si>
  <si>
    <t>House and Contents</t>
  </si>
  <si>
    <t>Vehicle</t>
  </si>
  <si>
    <t xml:space="preserve">Personal Liability </t>
  </si>
  <si>
    <t>Student Loans</t>
  </si>
  <si>
    <t>Personal Loans</t>
  </si>
  <si>
    <t>Credit Card Expenses</t>
  </si>
  <si>
    <t xml:space="preserve">Clothing </t>
  </si>
  <si>
    <t>Well Being</t>
  </si>
  <si>
    <t>Personal Hygiene</t>
  </si>
  <si>
    <t>Misc.</t>
  </si>
  <si>
    <t>Subscriptions</t>
  </si>
  <si>
    <t>Gym Memberships</t>
  </si>
  <si>
    <t>Movies</t>
  </si>
  <si>
    <t>Concerts</t>
  </si>
  <si>
    <t>Outings</t>
  </si>
  <si>
    <t>Dinners</t>
  </si>
  <si>
    <t>Social Event</t>
  </si>
  <si>
    <t>Leisure</t>
  </si>
  <si>
    <t>Debts</t>
  </si>
  <si>
    <t>January</t>
  </si>
  <si>
    <t>February</t>
  </si>
  <si>
    <t>March</t>
  </si>
  <si>
    <t>Date</t>
  </si>
  <si>
    <t>May</t>
  </si>
  <si>
    <t>Enter Your Income Here</t>
  </si>
  <si>
    <t>Amount</t>
  </si>
  <si>
    <t>Payment Source</t>
  </si>
  <si>
    <t>Expenses</t>
  </si>
  <si>
    <t>Income</t>
  </si>
  <si>
    <t>Revenue</t>
  </si>
  <si>
    <t>Dividend</t>
  </si>
  <si>
    <t>Salary</t>
  </si>
  <si>
    <t>Wages</t>
  </si>
  <si>
    <t>Other</t>
  </si>
  <si>
    <t>Row Labels</t>
  </si>
  <si>
    <t>Grand Total</t>
  </si>
  <si>
    <t>Jan</t>
  </si>
  <si>
    <t>Feb</t>
  </si>
  <si>
    <t>Mar</t>
  </si>
  <si>
    <t>Apr</t>
  </si>
  <si>
    <t>Jun</t>
  </si>
  <si>
    <t>Jul</t>
  </si>
  <si>
    <t>Sum of Actual Amount</t>
  </si>
  <si>
    <t>Sum of Expected Amount</t>
  </si>
  <si>
    <t>Sum of Amount</t>
  </si>
  <si>
    <t>Sum of All income</t>
  </si>
  <si>
    <t>Sum of All Expenses</t>
  </si>
  <si>
    <t>Actual</t>
  </si>
  <si>
    <t>Budgeted</t>
  </si>
  <si>
    <t>BUDGET JANUARY TO MARCH</t>
  </si>
  <si>
    <t>April</t>
  </si>
  <si>
    <t>June</t>
  </si>
  <si>
    <t>BUDGET APRIL TO JUNE</t>
  </si>
  <si>
    <t>Loan Type</t>
  </si>
  <si>
    <t>Start Date</t>
  </si>
  <si>
    <t>End Date</t>
  </si>
  <si>
    <t>Annual Interest Rate</t>
  </si>
  <si>
    <t>Loan Amount</t>
  </si>
  <si>
    <t>Payments Per Year</t>
  </si>
  <si>
    <t>Period</t>
  </si>
  <si>
    <t>Payment</t>
  </si>
  <si>
    <t>Interest</t>
  </si>
  <si>
    <t>Principal</t>
  </si>
  <si>
    <t>Balance</t>
  </si>
  <si>
    <t>Time Period (Years)</t>
  </si>
  <si>
    <t>Date to be Paid on</t>
  </si>
  <si>
    <t xml:space="preserve"> </t>
  </si>
  <si>
    <t>Payment Method</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</si>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</sst>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8" formatCode="&quot;$&quot;#,##0.00_);[Red]\(&quot;$&quot;#,##0.00\)"/>
    <numFmt numFmtId="44" formatCode="_(&quot;$&quot;* #,##0.00_);_(&quot;$&quot;* \(#,##0.00\);_(&quot;$&quot;* &quot;-&quot;??_);_(@_)"/>
    <numFmt numFmtId="164" formatCode="[$-F800]dddd\,\ mmmm\ dd\,\ yyyy"/>
    <numFmt numFmtId="165" formatCode="_(&quot;$&quot;* #,##0_);_(&quot;$&quot;* \(#,##0\);_(&quot;$&quot;* &quot;-&quot;??_);_(@_)"/>
  </numFmts>
  <fonts count="17">
    <font>
      <sz val="11"/>
      <color theme="1"/>
      <name val="Aptos Narrow"/>
      <family val="2"/>
      <scheme val="minor"/>
    </font>
    <font>
      <sz val="11"/>
      <color theme="1"/>
      <name val="Aptos Narrow"/>
      <family val="2"/>
      <scheme val="minor"/>
    </font>
    <font>
      <sz val="11"/>
      <color theme="1"/>
      <name val="Century"/>
      <family val="1"/>
    </font>
    <font>
      <u/>
      <sz val="11"/>
      <color theme="1"/>
      <name val="Century"/>
      <family val="1"/>
    </font>
    <font>
      <sz val="11"/>
      <color theme="1"/>
      <name val="Times New Roman"/>
      <family val="1"/>
    </font>
    <font>
      <sz val="8"/>
      <name val="Aptos Narrow"/>
      <family val="2"/>
      <scheme val="minor"/>
    </font>
    <font>
      <b/>
      <sz val="14"/>
      <color rgb="FF000000"/>
      <name val="Snap ITC"/>
      <family val="5"/>
    </font>
    <font>
      <u/>
      <sz val="11"/>
      <color theme="1"/>
      <name val="Aptos Narrow"/>
      <family val="2"/>
      <scheme val="minor"/>
    </font>
    <font>
      <b/>
      <sz val="11"/>
      <color theme="1"/>
      <name val="Aptos Narrow"/>
      <family val="2"/>
      <scheme val="minor"/>
    </font>
    <font>
      <sz val="11"/>
      <color theme="0"/>
      <name val="Aptos Narrow"/>
      <family val="2"/>
      <scheme val="minor"/>
    </font>
    <font>
      <sz val="22"/>
      <color theme="0"/>
      <name val="Times New Roman"/>
      <family val="1"/>
    </font>
    <font>
      <b/>
      <sz val="11"/>
      <color theme="1"/>
      <name val="Times New Roman"/>
      <family val="1"/>
    </font>
    <font>
      <u val="doubleAccounting"/>
      <sz val="11"/>
      <color theme="1"/>
      <name val="Times New Roman"/>
      <family val="1"/>
    </font>
    <font>
      <u val="singleAccounting"/>
      <sz val="11"/>
      <color theme="1"/>
      <name val="Times New Roman"/>
      <family val="1"/>
    </font>
    <font>
      <sz val="18"/>
      <color theme="0"/>
      <name val="Aptos Narrow"/>
      <family val="2"/>
      <scheme val="minor"/>
    </font>
    <font>
      <sz val="22"/>
      <color theme="0"/>
      <name val="Aptos Narrow"/>
      <family val="2"/>
      <scheme val="minor"/>
    </font>
    <font>
      <sz val="24"/>
      <color theme="0"/>
      <name val="Aptos Narrow"/>
      <family val="2"/>
      <scheme val="minor"/>
    </font>
  </fonts>
  <fills count="10">
    <fill>
      <patternFill patternType="none"/>
    </fill>
    <fill>
      <patternFill patternType="gray125"/>
    </fill>
    <fill>
      <patternFill patternType="solid">
        <fgColor theme="3" tint="0.89999084444715716"/>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6">
    <xf numFmtId="0" fontId="0" fillId="0" borderId="0"/>
    <xf numFmtId="44" fontId="1" fillId="0" borderId="0" applyFont="0" applyFill="0" applyBorder="0" applyAlignment="0" applyProtection="0"/>
    <xf numFmtId="0" fontId="9"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cellStyleXfs>
  <cellXfs count="76">
    <xf numFmtId="0" fontId="0" fillId="0" borderId="0" xfId="0"/>
    <xf numFmtId="0" fontId="0" fillId="4" borderId="0" xfId="0" applyFill="1"/>
    <xf numFmtId="0" fontId="2" fillId="4" borderId="1" xfId="0" applyFont="1" applyFill="1" applyBorder="1" applyAlignment="1">
      <alignment horizontal="center"/>
    </xf>
    <xf numFmtId="0" fontId="3" fillId="2" borderId="0" xfId="0" applyFont="1" applyFill="1"/>
    <xf numFmtId="0" fontId="3" fillId="3" borderId="0" xfId="0" applyFont="1" applyFill="1"/>
    <xf numFmtId="0" fontId="2" fillId="2" borderId="1" xfId="0" applyFont="1" applyFill="1" applyBorder="1" applyAlignment="1">
      <alignment horizontal="center"/>
    </xf>
    <xf numFmtId="0" fontId="0" fillId="2" borderId="0" xfId="0" applyFill="1"/>
    <xf numFmtId="0" fontId="3" fillId="3" borderId="1" xfId="0" applyFont="1" applyFill="1" applyBorder="1"/>
    <xf numFmtId="0" fontId="7" fillId="2" borderId="0" xfId="0" applyFont="1" applyFill="1"/>
    <xf numFmtId="0" fontId="0" fillId="0" borderId="0" xfId="0" pivotButton="1"/>
    <xf numFmtId="0" fontId="0" fillId="0" borderId="0" xfId="0" applyAlignment="1">
      <alignment horizontal="left"/>
    </xf>
    <xf numFmtId="0" fontId="0" fillId="5" borderId="0" xfId="0" applyFill="1"/>
    <xf numFmtId="0" fontId="1" fillId="7" borderId="0" xfId="3"/>
    <xf numFmtId="0" fontId="1" fillId="9" borderId="4" xfId="5" applyBorder="1"/>
    <xf numFmtId="0" fontId="4" fillId="9" borderId="18" xfId="5" applyFont="1" applyBorder="1"/>
    <xf numFmtId="0" fontId="4" fillId="9" borderId="19" xfId="5" applyFont="1" applyBorder="1"/>
    <xf numFmtId="44" fontId="4" fillId="9" borderId="19" xfId="1" applyFont="1" applyFill="1" applyBorder="1"/>
    <xf numFmtId="0" fontId="4" fillId="8" borderId="17" xfId="4" applyFont="1" applyBorder="1"/>
    <xf numFmtId="0" fontId="4" fillId="8" borderId="5" xfId="4" applyFont="1" applyBorder="1"/>
    <xf numFmtId="0" fontId="4" fillId="8" borderId="6" xfId="4" applyFont="1" applyBorder="1"/>
    <xf numFmtId="0" fontId="4" fillId="7" borderId="14" xfId="3" applyFont="1" applyBorder="1"/>
    <xf numFmtId="0" fontId="4" fillId="7" borderId="15" xfId="3" applyFont="1" applyBorder="1"/>
    <xf numFmtId="44" fontId="4" fillId="7" borderId="15" xfId="1" applyFont="1" applyFill="1" applyBorder="1"/>
    <xf numFmtId="44" fontId="4" fillId="7" borderId="16" xfId="1" applyFont="1" applyFill="1" applyBorder="1"/>
    <xf numFmtId="0" fontId="4" fillId="7" borderId="9" xfId="3" applyFont="1" applyBorder="1"/>
    <xf numFmtId="0" fontId="4" fillId="7" borderId="4" xfId="3" applyFont="1" applyBorder="1"/>
    <xf numFmtId="44" fontId="4" fillId="7" borderId="4" xfId="1" applyFont="1" applyFill="1" applyBorder="1"/>
    <xf numFmtId="44" fontId="4" fillId="7" borderId="10" xfId="1" applyFont="1" applyFill="1" applyBorder="1"/>
    <xf numFmtId="0" fontId="4" fillId="7" borderId="11" xfId="3" applyFont="1" applyBorder="1"/>
    <xf numFmtId="0" fontId="4" fillId="7" borderId="12" xfId="3" applyFont="1" applyBorder="1"/>
    <xf numFmtId="44" fontId="4" fillId="7" borderId="12" xfId="1" applyFont="1" applyFill="1" applyBorder="1"/>
    <xf numFmtId="44" fontId="4" fillId="7" borderId="13" xfId="1" applyFont="1" applyFill="1" applyBorder="1"/>
    <xf numFmtId="0" fontId="11" fillId="8" borderId="17" xfId="4" applyFont="1" applyBorder="1"/>
    <xf numFmtId="0" fontId="11" fillId="8" borderId="5" xfId="4" applyFont="1" applyBorder="1"/>
    <xf numFmtId="0" fontId="11" fillId="8" borderId="6" xfId="4" applyFont="1" applyBorder="1"/>
    <xf numFmtId="44" fontId="12" fillId="9" borderId="19" xfId="1" applyFont="1" applyFill="1" applyBorder="1"/>
    <xf numFmtId="44" fontId="12" fillId="9" borderId="20" xfId="1" applyFont="1" applyFill="1" applyBorder="1"/>
    <xf numFmtId="44" fontId="13" fillId="9" borderId="19" xfId="1" applyFont="1" applyFill="1" applyBorder="1"/>
    <xf numFmtId="0" fontId="4" fillId="2" borderId="0" xfId="0" applyFont="1" applyFill="1"/>
    <xf numFmtId="8" fontId="4" fillId="7" borderId="10" xfId="1" applyNumberFormat="1" applyFont="1" applyFill="1" applyBorder="1"/>
    <xf numFmtId="0" fontId="0" fillId="2" borderId="4" xfId="0" applyFill="1" applyBorder="1"/>
    <xf numFmtId="14" fontId="0" fillId="2" borderId="4" xfId="0" applyNumberFormat="1" applyFill="1" applyBorder="1"/>
    <xf numFmtId="9" fontId="0" fillId="2" borderId="4" xfId="0" applyNumberFormat="1" applyFill="1" applyBorder="1"/>
    <xf numFmtId="0" fontId="8" fillId="2" borderId="4" xfId="0" applyFont="1" applyFill="1" applyBorder="1"/>
    <xf numFmtId="8" fontId="0" fillId="2" borderId="4" xfId="0" applyNumberFormat="1" applyFill="1" applyBorder="1"/>
    <xf numFmtId="14" fontId="0" fillId="2" borderId="7" xfId="0" applyNumberFormat="1" applyFill="1" applyBorder="1"/>
    <xf numFmtId="0" fontId="0" fillId="2" borderId="7" xfId="0" applyFill="1" applyBorder="1"/>
    <xf numFmtId="8" fontId="0" fillId="2" borderId="7" xfId="0" applyNumberFormat="1" applyFill="1" applyBorder="1"/>
    <xf numFmtId="0" fontId="0" fillId="2" borderId="18" xfId="0" applyFill="1" applyBorder="1"/>
    <xf numFmtId="0" fontId="0" fillId="2" borderId="19" xfId="0" applyFill="1" applyBorder="1"/>
    <xf numFmtId="0" fontId="0" fillId="2" borderId="20" xfId="0" applyFill="1" applyBorder="1"/>
    <xf numFmtId="44" fontId="0" fillId="2" borderId="4" xfId="1" applyFont="1" applyFill="1" applyBorder="1"/>
    <xf numFmtId="14" fontId="1" fillId="8" borderId="4" xfId="4" applyNumberFormat="1" applyBorder="1"/>
    <xf numFmtId="0" fontId="1" fillId="8" borderId="4" xfId="4" applyBorder="1"/>
    <xf numFmtId="7" fontId="1" fillId="8" borderId="4" xfId="4" applyNumberFormat="1" applyBorder="1"/>
    <xf numFmtId="14" fontId="1" fillId="7" borderId="0" xfId="3" applyNumberFormat="1" applyBorder="1"/>
    <xf numFmtId="0" fontId="1" fillId="7" borderId="0" xfId="3" applyBorder="1"/>
    <xf numFmtId="44" fontId="1" fillId="7" borderId="0" xfId="3" applyNumberFormat="1" applyBorder="1"/>
    <xf numFmtId="164" fontId="1" fillId="9" borderId="4" xfId="5" applyNumberFormat="1" applyBorder="1"/>
    <xf numFmtId="44" fontId="1" fillId="9" borderId="4" xfId="5" applyNumberFormat="1" applyBorder="1"/>
    <xf numFmtId="44" fontId="1" fillId="8" borderId="4" xfId="4" applyNumberFormat="1" applyBorder="1"/>
    <xf numFmtId="14" fontId="0" fillId="0" borderId="0" xfId="0" applyNumberFormat="1" applyAlignment="1">
      <alignment horizontal="left"/>
    </xf>
    <xf numFmtId="44" fontId="0" fillId="0" borderId="0" xfId="0" applyNumberFormat="1"/>
    <xf numFmtId="165" fontId="0" fillId="0" borderId="0" xfId="0" applyNumberFormat="1"/>
    <xf numFmtId="0" fontId="0" fillId="9" borderId="4" xfId="5" applyFont="1" applyBorder="1"/>
    <xf numFmtId="0" fontId="0" fillId="8" borderId="4" xfId="4" applyFont="1" applyBorder="1"/>
    <xf numFmtId="0" fontId="15" fillId="6" borderId="21" xfId="2" applyFont="1" applyBorder="1" applyAlignment="1">
      <alignment horizontal="center"/>
    </xf>
    <xf numFmtId="0" fontId="15" fillId="6" borderId="22" xfId="2" applyFont="1" applyBorder="1" applyAlignment="1">
      <alignment horizontal="center"/>
    </xf>
    <xf numFmtId="0" fontId="15" fillId="6" borderId="23" xfId="2" applyFont="1" applyBorder="1" applyAlignment="1">
      <alignment horizontal="center"/>
    </xf>
    <xf numFmtId="0" fontId="14" fillId="6" borderId="21" xfId="2" applyFont="1" applyBorder="1" applyAlignment="1">
      <alignment horizontal="center"/>
    </xf>
    <xf numFmtId="0" fontId="14" fillId="6" borderId="22" xfId="2" applyFont="1" applyBorder="1" applyAlignment="1">
      <alignment horizontal="center"/>
    </xf>
    <xf numFmtId="0" fontId="10" fillId="6" borderId="0" xfId="2" applyFont="1" applyAlignment="1">
      <alignment horizontal="center"/>
    </xf>
    <xf numFmtId="0" fontId="16" fillId="6" borderId="0" xfId="2" applyFont="1" applyAlignment="1">
      <alignment horizontal="center"/>
    </xf>
    <xf numFmtId="0" fontId="3" fillId="2" borderId="2" xfId="0" applyFont="1" applyFill="1" applyBorder="1" applyAlignment="1">
      <alignment horizontal="center"/>
    </xf>
    <xf numFmtId="0" fontId="3" fillId="2" borderId="8" xfId="0" applyFont="1" applyFill="1" applyBorder="1" applyAlignment="1">
      <alignment horizontal="center"/>
    </xf>
    <xf numFmtId="0" fontId="3" fillId="2" borderId="3" xfId="0" applyFont="1" applyFill="1" applyBorder="1" applyAlignment="1">
      <alignment horizontal="center"/>
    </xf>
  </cellXfs>
  <cellStyles count="6">
    <cellStyle name="20% - Accent1" xfId="3" builtinId="30"/>
    <cellStyle name="40% - Accent1" xfId="4" builtinId="31"/>
    <cellStyle name="60% - Accent1" xfId="5" builtinId="32"/>
    <cellStyle name="Accent1" xfId="2" builtinId="29"/>
    <cellStyle name="Currency" xfId="1" builtinId="4"/>
    <cellStyle name="Normal" xfId="0" builtinId="0"/>
  </cellStyles>
  <dxfs count="10">
    <dxf>
      <numFmt numFmtId="165" formatCode="_(&quot;$&quot;* #,##0_);_(&quot;$&quot;* \(#,##0\);_(&quot;$&quot;* &quot;-&quot;??_);_(@_)"/>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z val="14"/>
        <color theme="0"/>
      </font>
    </dxf>
    <dxf>
      <fill>
        <patternFill>
          <bgColor theme="4" tint="-0.24994659260841701"/>
        </patternFill>
      </fill>
    </dxf>
    <dxf>
      <fill>
        <patternFill>
          <bgColor theme="4" tint="-0.24994659260841701"/>
        </patternFill>
      </fill>
    </dxf>
  </dxfs>
  <tableStyles count="2" defaultTableStyle="TableStyleMedium2" defaultPivotStyle="PivotStyleLight16">
    <tableStyle name="Slicer Style 1" pivot="0" table="0" count="1" xr9:uid="{161071CE-1326-4698-8309-66DD7EE2C2BF}">
      <tableStyleElement type="wholeTable" dxfId="9"/>
    </tableStyle>
    <tableStyle name="Slicer Style 2" pivot="0" table="0" count="4" xr9:uid="{835936AF-EA6F-4B90-8F24-0782C0438BF4}">
      <tableStyleElement type="wholeTable" dxfId="8"/>
      <tableStyleElement type="headerRow" dxfId="7"/>
    </tableStyle>
  </tableStyles>
  <extLst>
    <ext xmlns:x14="http://schemas.microsoft.com/office/spreadsheetml/2009/9/main" uri="{46F421CA-312F-682f-3DD2-61675219B42D}">
      <x14:dxfs count="2">
        <dxf>
          <fill>
            <patternFill>
              <bgColor theme="0"/>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[Russo Final Project.xlsm]Pivot 1!PivotTable1</c:name>
    <c:fmtId val="5"/>
  </c:pivotSource>
  <c:chart>
    <c:autoTitleDeleted val="1"/>
    <c:pivotFmts>
      <c:pivotFmt>
        <c:idx val="0"/>
      </c:pivotFmt>
      <c:pivotFmt>
        <c:idx val="1"/>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s>
    <c:plotArea>
      <c:layout/>
      <c:lineChart>
        <c:grouping val="stacked"/>
        <c:varyColors val="0"/>
        <c:ser>
          <c:idx val="0"/>
          <c:order val="0"/>
          <c:tx>
            <c:strRef>
              <c:f>'Pivot 1'!$B$3</c:f>
              <c:strCache>
                <c:ptCount val="1"/>
                <c:pt idx="0">
                  <c:v>Sum of Actual Amount</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 1'!$A$4:$A$11</c:f>
              <c:strCache>
                <c:ptCount val="7"/>
                <c:pt idx="0">
                  <c:v>Jan</c:v>
                </c:pt>
                <c:pt idx="1">
                  <c:v>Feb</c:v>
                </c:pt>
                <c:pt idx="2">
                  <c:v>Mar</c:v>
                </c:pt>
                <c:pt idx="3">
                  <c:v>Apr</c:v>
                </c:pt>
                <c:pt idx="4">
                  <c:v>May</c:v>
                </c:pt>
                <c:pt idx="5">
                  <c:v>Jun</c:v>
                </c:pt>
                <c:pt idx="6">
                  <c:v>Jul</c:v>
                </c:pt>
              </c:strCache>
            </c:strRef>
          </c:cat>
          <c:val>
            <c:numRef>
              <c:f>'Pivot 1'!$B$4:$B$11</c:f>
              <c:numCache>
                <c:formatCode>_("$"* #,##0.00_);_("$"* \(#,##0.00\);_("$"* "-"??_);_(@_)</c:formatCode>
                <c:ptCount val="7"/>
                <c:pt idx="0">
                  <c:v>76486</c:v>
                </c:pt>
                <c:pt idx="1">
                  <c:v>50438</c:v>
                </c:pt>
                <c:pt idx="2">
                  <c:v>68856</c:v>
                </c:pt>
                <c:pt idx="3">
                  <c:v>68065</c:v>
                </c:pt>
                <c:pt idx="4">
                  <c:v>71873</c:v>
                </c:pt>
                <c:pt idx="5">
                  <c:v>52289</c:v>
                </c:pt>
                <c:pt idx="6">
                  <c:v>64081</c:v>
                </c:pt>
              </c:numCache>
            </c:numRef>
          </c:val>
          <c:smooth val="0"/>
          <c:extLst>
            <c:ext xmlns:c16="http://schemas.microsoft.com/office/drawing/2014/chart" uri="{C3380CC4-5D6E-409C-BE32-E72D297353CC}">
              <c16:uniqueId val="{00000000-56BA-4219-B023-60B8DEBFD8CA}"/>
            </c:ext>
          </c:extLst>
        </c:ser>
        <c:ser>
          <c:idx val="1"/>
          <c:order val="1"/>
          <c:tx>
            <c:strRef>
              <c:f>'Pivot 1'!$C$3</c:f>
              <c:strCache>
                <c:ptCount val="1"/>
                <c:pt idx="0">
                  <c:v>Sum of Expected Amount</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 1'!$A$4:$A$11</c:f>
              <c:strCache>
                <c:ptCount val="7"/>
                <c:pt idx="0">
                  <c:v>Jan</c:v>
                </c:pt>
                <c:pt idx="1">
                  <c:v>Feb</c:v>
                </c:pt>
                <c:pt idx="2">
                  <c:v>Mar</c:v>
                </c:pt>
                <c:pt idx="3">
                  <c:v>Apr</c:v>
                </c:pt>
                <c:pt idx="4">
                  <c:v>May</c:v>
                </c:pt>
                <c:pt idx="5">
                  <c:v>Jun</c:v>
                </c:pt>
                <c:pt idx="6">
                  <c:v>Jul</c:v>
                </c:pt>
              </c:strCache>
            </c:strRef>
          </c:cat>
          <c:val>
            <c:numRef>
              <c:f>'Pivot 1'!$C$4:$C$11</c:f>
              <c:numCache>
                <c:formatCode>_("$"* #,##0.00_);_("$"* \(#,##0.00\);_("$"* "-"??_);_(@_)</c:formatCode>
                <c:ptCount val="7"/>
                <c:pt idx="0">
                  <c:v>81943</c:v>
                </c:pt>
                <c:pt idx="1">
                  <c:v>66868</c:v>
                </c:pt>
                <c:pt idx="2">
                  <c:v>71797</c:v>
                </c:pt>
                <c:pt idx="3">
                  <c:v>57319</c:v>
                </c:pt>
                <c:pt idx="4">
                  <c:v>93262</c:v>
                </c:pt>
                <c:pt idx="5">
                  <c:v>70799</c:v>
                </c:pt>
                <c:pt idx="6">
                  <c:v>74605</c:v>
                </c:pt>
              </c:numCache>
            </c:numRef>
          </c:val>
          <c:smooth val="0"/>
          <c:extLst>
            <c:ext xmlns:c16="http://schemas.microsoft.com/office/drawing/2014/chart" uri="{C3380CC4-5D6E-409C-BE32-E72D297353CC}">
              <c16:uniqueId val="{00000000-0244-4312-8439-5FB06E6FC491}"/>
            </c:ext>
          </c:extLst>
        </c:ser>
        <c:dLbls>
          <c:showLegendKey val="0"/>
          <c:showVal val="0"/>
          <c:showCatName val="0"/>
          <c:showSerName val="0"/>
          <c:showPercent val="0"/>
          <c:showBubbleSize val="0"/>
        </c:dLbls>
        <c:marker val="1"/>
        <c:smooth val="0"/>
        <c:axId val="882694624"/>
        <c:axId val="882701824"/>
      </c:lineChart>
      <c:catAx>
        <c:axId val="88269462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bg1"/>
                </a:solidFill>
                <a:latin typeface="+mn-lt"/>
                <a:ea typeface="+mn-ea"/>
                <a:cs typeface="+mn-cs"/>
              </a:defRPr>
            </a:pPr>
            <a:endParaRPr lang="en-US"/>
          </a:p>
        </c:txPr>
        <c:crossAx val="882701824"/>
        <c:crosses val="autoZero"/>
        <c:auto val="1"/>
        <c:lblAlgn val="ctr"/>
        <c:lblOffset val="100"/>
        <c:noMultiLvlLbl val="0"/>
      </c:catAx>
      <c:valAx>
        <c:axId val="882701824"/>
        <c:scaling>
          <c:orientation val="minMax"/>
        </c:scaling>
        <c:delete val="0"/>
        <c:axPos val="l"/>
        <c:majorGridlines>
          <c:spPr>
            <a:ln>
              <a:solidFill>
                <a:schemeClr val="dk1">
                  <a:lumMod val="15000"/>
                  <a:lumOff val="85000"/>
                </a:schemeClr>
              </a:solidFill>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bg1"/>
                </a:solidFill>
                <a:latin typeface="+mn-lt"/>
                <a:ea typeface="+mn-ea"/>
                <a:cs typeface="+mn-cs"/>
              </a:defRPr>
            </a:pPr>
            <a:endParaRPr lang="en-US"/>
          </a:p>
        </c:txPr>
        <c:crossAx val="882694624"/>
        <c:crosses val="autoZero"/>
        <c:crossBetween val="between"/>
      </c:valAx>
      <c:spPr>
        <a:solidFill>
          <a:schemeClr val="accent1">
            <a:lumMod val="7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[Russo Final Project.xlsm]Pivot 3!PivotTable1</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manualLayout>
          <c:layoutTarget val="inner"/>
          <c:xMode val="edge"/>
          <c:yMode val="edge"/>
          <c:x val="0.1435557374085904"/>
          <c:y val="9.7190127549287797E-2"/>
          <c:w val="0.70036651617492074"/>
          <c:h val="0.78090386180890337"/>
        </c:manualLayout>
      </c:layout>
      <c:lineChart>
        <c:grouping val="standard"/>
        <c:varyColors val="0"/>
        <c:ser>
          <c:idx val="0"/>
          <c:order val="0"/>
          <c:tx>
            <c:strRef>
              <c:f>'Pivot 3'!$B$3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3'!$A$4:$A$10</c:f>
              <c:strCache>
                <c:ptCount val="6"/>
                <c:pt idx="0">
                  <c:v>1/1/2025</c:v>
                </c:pt>
                <c:pt idx="1">
                  <c:v>2/1/2025</c:v>
                </c:pt>
                <c:pt idx="2">
                  <c:v>3/1/2025</c:v>
                </c:pt>
                <c:pt idx="3">
                  <c:v>4/1/2025</c:v>
                </c:pt>
                <c:pt idx="4">
                  <c:v>5/1/2025</c:v>
                </c:pt>
                <c:pt idx="5">
                  <c:v>6/1/2025</c:v>
                </c:pt>
              </c:strCache>
            </c:strRef>
          </c:cat>
          <c:val>
            <c:numRef>
              <c:f>'Pivot 3'!$B$4:$B$10</c:f>
              <c:numCache>
                <c:formatCode>_("$"* #,##0_);_("$"* \(#,##0\);_("$"* "-"??_);_(@_)</c:formatCode>
                <c:ptCount val="6"/>
                <c:pt idx="0">
                  <c:v>110000</c:v>
                </c:pt>
                <c:pt idx="1">
                  <c:v>120000</c:v>
                </c:pt>
                <c:pt idx="2">
                  <c:v>130000</c:v>
                </c:pt>
                <c:pt idx="3">
                  <c:v>100000</c:v>
                </c:pt>
                <c:pt idx="4">
                  <c:v>130000</c:v>
                </c:pt>
                <c:pt idx="5">
                  <c:v>120000</c:v>
                </c:pt>
              </c:numCache>
            </c:numRef>
          </c:val>
          <c:smooth val="0"/>
          <c:extLst>
            <c:ext xmlns:c16="http://schemas.microsoft.com/office/drawing/2014/chart" uri="{C3380CC4-5D6E-409C-BE32-E72D297353CC}">
              <c16:uniqueId val="{00000000-CFF4-4180-BACC-5D4625411722}"/>
            </c:ext>
          </c:extLst>
        </c:ser>
        <c:dLbls>
          <c:showLegendKey val="0"/>
          <c:showVal val="0"/>
          <c:showCatName val="0"/>
          <c:showSerName val="0"/>
          <c:showPercent val="0"/>
          <c:showBubbleSize val="0"/>
        </c:dLbls>
        <c:marker val="1"/>
        <c:smooth val="0"/>
        <c:axId val="1100124688"/>
        <c:axId val="1100131888"/>
      </c:lineChart>
      <c:catAx>
        <c:axId val="110012468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00131888"/>
        <c:crosses val="autoZero"/>
        <c:auto val="1"/>
        <c:lblAlgn val="ctr"/>
        <c:lblOffset val="100"/>
        <c:noMultiLvlLbl val="0"/>
      </c:catAx>
      <c:valAx>
        <c:axId val="110013188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Amount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00124688"/>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[Russo Final Project.xlsm]Pivot 2!PivotTable2</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Actual Spending per Category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
        <c:idx val="5"/>
        <c:spPr>
          <a:solidFill>
            <a:schemeClr val="lt1"/>
          </a:solidFill>
          <a:ln w="19050">
            <a:solidFill>
              <a:schemeClr val="accent1"/>
            </a:solidFill>
          </a:ln>
          <a:effectLst/>
        </c:spPr>
      </c:pivotFmt>
      <c:pivotFmt>
        <c:idx val="6"/>
        <c:spPr>
          <a:solidFill>
            <a:schemeClr val="lt1"/>
          </a:solidFill>
          <a:ln w="19050">
            <a:solidFill>
              <a:schemeClr val="accent1"/>
            </a:solidFill>
          </a:ln>
          <a:effectLst/>
        </c:spPr>
      </c:pivotFmt>
      <c:pivotFmt>
        <c:idx val="7"/>
        <c:spPr>
          <a:solidFill>
            <a:schemeClr val="lt1"/>
          </a:solidFill>
          <a:ln w="19050">
            <a:solidFill>
              <a:schemeClr val="accent1"/>
            </a:solidFill>
          </a:ln>
          <a:effectLst/>
        </c:spPr>
      </c:pivotFmt>
      <c:pivotFmt>
        <c:idx val="8"/>
        <c:spPr>
          <a:solidFill>
            <a:schemeClr val="lt1"/>
          </a:solidFill>
          <a:ln w="19050">
            <a:solidFill>
              <a:schemeClr val="accent1"/>
            </a:solidFill>
          </a:ln>
          <a:effectLst/>
        </c:spPr>
      </c:pivotFmt>
      <c:pivotFmt>
        <c:idx val="9"/>
        <c:spPr>
          <a:solidFill>
            <a:schemeClr val="lt1"/>
          </a:solidFill>
          <a:ln w="19050">
            <a:solidFill>
              <a:schemeClr val="accent1"/>
            </a:solidFill>
          </a:ln>
          <a:effectLst/>
        </c:spPr>
      </c:pivotFmt>
      <c:pivotFmt>
        <c:idx val="1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lt1"/>
          </a:solidFill>
          <a:ln w="19050">
            <a:solidFill>
              <a:schemeClr val="accent1"/>
            </a:solidFill>
          </a:ln>
          <a:effectLst/>
        </c:spPr>
      </c:pivotFmt>
      <c:pivotFmt>
        <c:idx val="12"/>
        <c:spPr>
          <a:solidFill>
            <a:schemeClr val="lt1"/>
          </a:solidFill>
          <a:ln w="19050">
            <a:solidFill>
              <a:schemeClr val="accent1"/>
            </a:solidFill>
          </a:ln>
          <a:effectLst/>
        </c:spPr>
      </c:pivotFmt>
      <c:pivotFmt>
        <c:idx val="13"/>
        <c:spPr>
          <a:solidFill>
            <a:schemeClr val="lt1"/>
          </a:solidFill>
          <a:ln w="19050">
            <a:solidFill>
              <a:schemeClr val="accent1"/>
            </a:solidFill>
          </a:ln>
          <a:effectLst/>
        </c:spPr>
      </c:pivotFmt>
      <c:pivotFmt>
        <c:idx val="14"/>
        <c:spPr>
          <a:solidFill>
            <a:schemeClr val="lt1"/>
          </a:solidFill>
          <a:ln w="19050">
            <a:solidFill>
              <a:schemeClr val="accent1"/>
            </a:solidFill>
          </a:ln>
          <a:effectLst/>
        </c:spPr>
      </c:pivotFmt>
      <c:pivotFmt>
        <c:idx val="15"/>
        <c:spPr>
          <a:solidFill>
            <a:schemeClr val="lt1"/>
          </a:solidFill>
          <a:ln w="19050">
            <a:solidFill>
              <a:schemeClr val="accent1"/>
            </a:solidFill>
          </a:ln>
          <a:effectLst/>
        </c:spPr>
      </c:pivotFmt>
      <c:pivotFmt>
        <c:idx val="16"/>
        <c:spPr>
          <a:solidFill>
            <a:schemeClr val="lt1"/>
          </a:solidFill>
          <a:ln w="19050">
            <a:solidFill>
              <a:schemeClr val="accent1"/>
            </a:solidFill>
          </a:ln>
          <a:effectLst/>
        </c:spPr>
      </c:pivotFmt>
      <c:pivotFmt>
        <c:idx val="17"/>
        <c:spPr>
          <a:solidFill>
            <a:schemeClr val="lt1"/>
          </a:solidFill>
          <a:ln w="19050">
            <a:solidFill>
              <a:schemeClr val="accent1"/>
            </a:solidFill>
          </a:ln>
          <a:effectLst/>
        </c:spPr>
      </c:pivotFmt>
      <c:pivotFmt>
        <c:idx val="18"/>
        <c:spPr>
          <a:solidFill>
            <a:schemeClr val="lt1"/>
          </a:solidFill>
          <a:ln w="19050">
            <a:solidFill>
              <a:schemeClr val="accent1"/>
            </a:solidFill>
          </a:ln>
          <a:effectLst/>
        </c:spPr>
      </c:pivotFmt>
      <c:pivotFmt>
        <c:idx val="19"/>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lt1"/>
          </a:solidFill>
          <a:ln w="19050">
            <a:solidFill>
              <a:schemeClr val="accent1"/>
            </a:solidFill>
          </a:ln>
          <a:effectLst/>
        </c:spPr>
      </c:pivotFmt>
      <c:pivotFmt>
        <c:idx val="21"/>
        <c:spPr>
          <a:solidFill>
            <a:schemeClr val="lt1"/>
          </a:solidFill>
          <a:ln w="19050">
            <a:solidFill>
              <a:schemeClr val="accent1"/>
            </a:solidFill>
          </a:ln>
          <a:effectLst/>
        </c:spPr>
      </c:pivotFmt>
      <c:pivotFmt>
        <c:idx val="22"/>
        <c:spPr>
          <a:solidFill>
            <a:schemeClr val="lt1"/>
          </a:solidFill>
          <a:ln w="19050">
            <a:solidFill>
              <a:schemeClr val="accent1"/>
            </a:solidFill>
          </a:ln>
          <a:effectLst/>
        </c:spPr>
      </c:pivotFmt>
      <c:pivotFmt>
        <c:idx val="23"/>
        <c:spPr>
          <a:solidFill>
            <a:schemeClr val="lt1"/>
          </a:solidFill>
          <a:ln w="19050">
            <a:solidFill>
              <a:schemeClr val="accent1"/>
            </a:solidFill>
          </a:ln>
          <a:effectLst/>
        </c:spPr>
      </c:pivotFmt>
      <c:pivotFmt>
        <c:idx val="24"/>
        <c:spPr>
          <a:solidFill>
            <a:schemeClr val="lt1"/>
          </a:solidFill>
          <a:ln w="19050">
            <a:solidFill>
              <a:schemeClr val="accent1"/>
            </a:solidFill>
          </a:ln>
          <a:effectLst/>
        </c:spPr>
      </c:pivotFmt>
      <c:pivotFmt>
        <c:idx val="25"/>
        <c:spPr>
          <a:solidFill>
            <a:schemeClr val="lt1"/>
          </a:solidFill>
          <a:ln w="19050">
            <a:solidFill>
              <a:schemeClr val="accent1"/>
            </a:solidFill>
          </a:ln>
          <a:effectLst/>
        </c:spPr>
      </c:pivotFmt>
      <c:pivotFmt>
        <c:idx val="26"/>
        <c:spPr>
          <a:solidFill>
            <a:schemeClr val="lt1"/>
          </a:solidFill>
          <a:ln w="19050">
            <a:solidFill>
              <a:schemeClr val="accent1"/>
            </a:solidFill>
          </a:ln>
          <a:effectLst/>
        </c:spPr>
      </c:pivotFmt>
      <c:pivotFmt>
        <c:idx val="27"/>
        <c:spPr>
          <a:solidFill>
            <a:schemeClr val="lt1"/>
          </a:solidFill>
          <a:ln w="19050">
            <a:solidFill>
              <a:schemeClr val="accent1"/>
            </a:solidFill>
          </a:ln>
          <a:effectLst/>
        </c:spPr>
      </c:pivotFmt>
    </c:pivotFmts>
    <c:plotArea>
      <c:layout/>
      <c:pieChart>
        <c:varyColors val="1"/>
        <c:ser>
          <c:idx val="0"/>
          <c:order val="0"/>
          <c:tx>
            <c:strRef>
              <c:f>'Pivot 2'!$B$4</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68F7-4ACF-A15E-6539B1FCE8D0}"/>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68F7-4ACF-A15E-6539B1FCE8D0}"/>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68F7-4ACF-A15E-6539B1FCE8D0}"/>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68F7-4ACF-A15E-6539B1FCE8D0}"/>
              </c:ext>
            </c:extLst>
          </c:dPt>
          <c:dPt>
            <c:idx val="4"/>
            <c:bubble3D val="0"/>
            <c:spPr>
              <a:solidFill>
                <a:schemeClr val="lt1"/>
              </a:solidFill>
              <a:ln w="19050">
                <a:solidFill>
                  <a:schemeClr val="accent1"/>
                </a:solidFill>
              </a:ln>
              <a:effectLst/>
            </c:spPr>
            <c:extLst>
              <c:ext xmlns:c16="http://schemas.microsoft.com/office/drawing/2014/chart" uri="{C3380CC4-5D6E-409C-BE32-E72D297353CC}">
                <c16:uniqueId val="{00000009-68F7-4ACF-A15E-6539B1FCE8D0}"/>
              </c:ext>
            </c:extLst>
          </c:dPt>
          <c:dPt>
            <c:idx val="5"/>
            <c:bubble3D val="0"/>
            <c:spPr>
              <a:solidFill>
                <a:schemeClr val="lt1"/>
              </a:solidFill>
              <a:ln w="19050">
                <a:solidFill>
                  <a:schemeClr val="accent1"/>
                </a:solidFill>
              </a:ln>
              <a:effectLst/>
            </c:spPr>
            <c:extLst>
              <c:ext xmlns:c16="http://schemas.microsoft.com/office/drawing/2014/chart" uri="{C3380CC4-5D6E-409C-BE32-E72D297353CC}">
                <c16:uniqueId val="{0000000B-68F7-4ACF-A15E-6539B1FCE8D0}"/>
              </c:ext>
            </c:extLst>
          </c:dPt>
          <c:dPt>
            <c:idx val="6"/>
            <c:bubble3D val="0"/>
            <c:spPr>
              <a:solidFill>
                <a:schemeClr val="lt1"/>
              </a:solidFill>
              <a:ln w="19050">
                <a:solidFill>
                  <a:schemeClr val="accent1"/>
                </a:solidFill>
              </a:ln>
              <a:effectLst/>
            </c:spPr>
            <c:extLst>
              <c:ext xmlns:c16="http://schemas.microsoft.com/office/drawing/2014/chart" uri="{C3380CC4-5D6E-409C-BE32-E72D297353CC}">
                <c16:uniqueId val="{0000000D-68F7-4ACF-A15E-6539B1FCE8D0}"/>
              </c:ext>
            </c:extLst>
          </c:dPt>
          <c:dPt>
            <c:idx val="7"/>
            <c:bubble3D val="0"/>
            <c:spPr>
              <a:solidFill>
                <a:schemeClr val="lt1"/>
              </a:solidFill>
              <a:ln w="19050">
                <a:solidFill>
                  <a:schemeClr val="accent1"/>
                </a:solidFill>
              </a:ln>
              <a:effectLst/>
            </c:spPr>
            <c:extLst>
              <c:ext xmlns:c16="http://schemas.microsoft.com/office/drawing/2014/chart" uri="{C3380CC4-5D6E-409C-BE32-E72D297353CC}">
                <c16:uniqueId val="{0000000F-68F7-4ACF-A15E-6539B1FCE8D0}"/>
              </c:ext>
            </c:extLst>
          </c:dPt>
          <c:dPt>
            <c:idx val="8"/>
            <c:bubble3D val="0"/>
            <c:spPr>
              <a:solidFill>
                <a:schemeClr val="lt1"/>
              </a:solidFill>
              <a:ln w="19050">
                <a:solidFill>
                  <a:schemeClr val="accent1"/>
                </a:solidFill>
              </a:ln>
              <a:effectLst/>
            </c:spPr>
            <c:extLst>
              <c:ext xmlns:c16="http://schemas.microsoft.com/office/drawing/2014/chart" uri="{C3380CC4-5D6E-409C-BE32-E72D297353CC}">
                <c16:uniqueId val="{00000011-68F7-4ACF-A15E-6539B1FCE8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 2'!$A$5:$A$13</c:f>
              <c:strCache>
                <c:ptCount val="8"/>
                <c:pt idx="0">
                  <c:v>Debts</c:v>
                </c:pt>
                <c:pt idx="1">
                  <c:v>Food</c:v>
                </c:pt>
                <c:pt idx="2">
                  <c:v>Housing</c:v>
                </c:pt>
                <c:pt idx="3">
                  <c:v>Insurance</c:v>
                </c:pt>
                <c:pt idx="4">
                  <c:v>Leisure</c:v>
                </c:pt>
                <c:pt idx="5">
                  <c:v>Personal</c:v>
                </c:pt>
                <c:pt idx="6">
                  <c:v>Transportation</c:v>
                </c:pt>
                <c:pt idx="7">
                  <c:v>Utilities</c:v>
                </c:pt>
              </c:strCache>
            </c:strRef>
          </c:cat>
          <c:val>
            <c:numRef>
              <c:f>'Pivot 2'!$B$5:$B$13</c:f>
              <c:numCache>
                <c:formatCode>_("$"* #,##0.00_);_("$"* \(#,##0.00\);_("$"* "-"??_);_(@_)</c:formatCode>
                <c:ptCount val="8"/>
                <c:pt idx="0">
                  <c:v>60772</c:v>
                </c:pt>
                <c:pt idx="1">
                  <c:v>67082</c:v>
                </c:pt>
                <c:pt idx="2">
                  <c:v>52766</c:v>
                </c:pt>
                <c:pt idx="3">
                  <c:v>56508</c:v>
                </c:pt>
                <c:pt idx="4">
                  <c:v>43430</c:v>
                </c:pt>
                <c:pt idx="5">
                  <c:v>62496</c:v>
                </c:pt>
                <c:pt idx="6">
                  <c:v>60509</c:v>
                </c:pt>
                <c:pt idx="7">
                  <c:v>48525</c:v>
                </c:pt>
              </c:numCache>
            </c:numRef>
          </c:val>
          <c:extLst>
            <c:ext xmlns:c16="http://schemas.microsoft.com/office/drawing/2014/chart" uri="{C3380CC4-5D6E-409C-BE32-E72D297353CC}">
              <c16:uniqueId val="{00000012-68F7-4ACF-A15E-6539B1FCE8D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January Actual vs Budgeted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'Jan - March Budget'!$D$6</c:f>
              <c:strCache>
                <c:ptCount val="1"/>
                <c:pt idx="0">
                  <c:v>Actual</c:v>
                </c:pt>
              </c:strCache>
            </c:strRef>
          </c:tx>
          <c:spPr>
            <a:solidFill>
              <a:schemeClr val="accent1"/>
            </a:solidFill>
            <a:ln>
              <a:noFill/>
            </a:ln>
            <a:effectLst/>
          </c:spPr>
          <c:invertIfNegative val="0"/>
          <c:cat>
            <c:strRef>
              <c:f>'Jan - March Budget'!$C$7:$C$35</c:f>
              <c:strCache>
                <c:ptCount val="29"/>
                <c:pt idx="0">
                  <c:v>Rent</c:v>
                </c:pt>
                <c:pt idx="1">
                  <c:v>Mortgage Payments</c:v>
                </c:pt>
                <c:pt idx="2">
                  <c:v>Public Transport</c:v>
                </c:pt>
                <c:pt idx="3">
                  <c:v>Vehicle Registration</c:v>
                </c:pt>
                <c:pt idx="4">
                  <c:v>Fuel</c:v>
                </c:pt>
                <c:pt idx="5">
                  <c:v>Running Cost</c:v>
                </c:pt>
                <c:pt idx="6">
                  <c:v>Meals</c:v>
                </c:pt>
                <c:pt idx="7">
                  <c:v>Groceries</c:v>
                </c:pt>
                <c:pt idx="8">
                  <c:v>Electric</c:v>
                </c:pt>
                <c:pt idx="9">
                  <c:v>Gas</c:v>
                </c:pt>
                <c:pt idx="10">
                  <c:v>Water </c:v>
                </c:pt>
                <c:pt idx="11">
                  <c:v>Heatng Bills</c:v>
                </c:pt>
                <c:pt idx="12">
                  <c:v>House and Contents</c:v>
                </c:pt>
                <c:pt idx="13">
                  <c:v>Vehicle</c:v>
                </c:pt>
                <c:pt idx="14">
                  <c:v>Personal Liability </c:v>
                </c:pt>
                <c:pt idx="15">
                  <c:v>Subscriptions</c:v>
                </c:pt>
                <c:pt idx="16">
                  <c:v>Gym Memberships</c:v>
                </c:pt>
                <c:pt idx="17">
                  <c:v>Movies</c:v>
                </c:pt>
                <c:pt idx="18">
                  <c:v>Concerts</c:v>
                </c:pt>
                <c:pt idx="19">
                  <c:v>Outings</c:v>
                </c:pt>
                <c:pt idx="20">
                  <c:v>Dinners</c:v>
                </c:pt>
                <c:pt idx="21">
                  <c:v>Social Event</c:v>
                </c:pt>
                <c:pt idx="22">
                  <c:v>Student Loans</c:v>
                </c:pt>
                <c:pt idx="23">
                  <c:v>Personal Loans</c:v>
                </c:pt>
                <c:pt idx="24">
                  <c:v>Credit Card Expenses</c:v>
                </c:pt>
                <c:pt idx="25">
                  <c:v>Clothing </c:v>
                </c:pt>
                <c:pt idx="26">
                  <c:v>Well Being</c:v>
                </c:pt>
                <c:pt idx="27">
                  <c:v>Personal Hygiene</c:v>
                </c:pt>
                <c:pt idx="28">
                  <c:v>Misc.</c:v>
                </c:pt>
              </c:strCache>
            </c:strRef>
          </c:cat>
          <c:val>
            <c:numRef>
              <c:f>'Jan - March Budget'!$D$7:$D$35</c:f>
              <c:numCache>
                <c:formatCode>_("$"* #,##0.00_);_("$"* \(#,##0.00\);_("$"* "-"??_);_(@_)</c:formatCode>
                <c:ptCount val="29"/>
                <c:pt idx="0">
                  <c:v>7708</c:v>
                </c:pt>
                <c:pt idx="1">
                  <c:v>7851</c:v>
                </c:pt>
                <c:pt idx="2">
                  <c:v>0</c:v>
                </c:pt>
                <c:pt idx="3">
                  <c:v>0</c:v>
                </c:pt>
                <c:pt idx="4">
                  <c:v>1527</c:v>
                </c:pt>
                <c:pt idx="5">
                  <c:v>0</c:v>
                </c:pt>
                <c:pt idx="6">
                  <c:v>0</c:v>
                </c:pt>
                <c:pt idx="7">
                  <c:v>4285</c:v>
                </c:pt>
                <c:pt idx="8">
                  <c:v>9519</c:v>
                </c:pt>
                <c:pt idx="9">
                  <c:v>0</c:v>
                </c:pt>
                <c:pt idx="10">
                  <c:v>0</c:v>
                </c:pt>
                <c:pt idx="11">
                  <c:v>0</c:v>
                </c:pt>
                <c:pt idx="12">
                  <c:v>639</c:v>
                </c:pt>
                <c:pt idx="13">
                  <c:v>0</c:v>
                </c:pt>
                <c:pt idx="14">
                  <c:v>1275</c:v>
                </c:pt>
                <c:pt idx="15">
                  <c:v>0</c:v>
                </c:pt>
                <c:pt idx="16">
                  <c:v>0</c:v>
                </c:pt>
                <c:pt idx="17">
                  <c:v>5607</c:v>
                </c:pt>
                <c:pt idx="18">
                  <c:v>0</c:v>
                </c:pt>
                <c:pt idx="19">
                  <c:v>0</c:v>
                </c:pt>
                <c:pt idx="20">
                  <c:v>2838</c:v>
                </c:pt>
                <c:pt idx="21">
                  <c:v>0</c:v>
                </c:pt>
                <c:pt idx="22">
                  <c:v>0</c:v>
                </c:pt>
                <c:pt idx="23">
                  <c:v>9849</c:v>
                </c:pt>
                <c:pt idx="24">
                  <c:v>9747</c:v>
                </c:pt>
                <c:pt idx="25">
                  <c:v>9773</c:v>
                </c:pt>
                <c:pt idx="26">
                  <c:v>0</c:v>
                </c:pt>
                <c:pt idx="27">
                  <c:v>0</c:v>
                </c:pt>
                <c:pt idx="28">
                  <c:v>5868</c:v>
                </c:pt>
              </c:numCache>
            </c:numRef>
          </c:val>
          <c:extLst>
            <c:ext xmlns:c16="http://schemas.microsoft.com/office/drawing/2014/chart" uri="{C3380CC4-5D6E-409C-BE32-E72D297353CC}">
              <c16:uniqueId val="{00000000-D62F-4F3A-9618-0225B402D711}"/>
            </c:ext>
          </c:extLst>
        </c:ser>
        <c:ser>
          <c:idx val="1"/>
          <c:order val="1"/>
          <c:tx>
            <c:strRef>
              <c:f>'Jan - March Budget'!$E$6</c:f>
              <c:strCache>
                <c:ptCount val="1"/>
                <c:pt idx="0">
                  <c:v>Budgeted</c:v>
                </c:pt>
              </c:strCache>
            </c:strRef>
          </c:tx>
          <c:spPr>
            <a:solidFill>
              <a:schemeClr val="accent2"/>
            </a:solidFill>
            <a:ln>
              <a:noFill/>
            </a:ln>
            <a:effectLst/>
          </c:spPr>
          <c:invertIfNegative val="0"/>
          <c:cat>
            <c:strRef>
              <c:f>'Jan - March Budget'!$C$7:$C$35</c:f>
              <c:strCache>
                <c:ptCount val="29"/>
                <c:pt idx="0">
                  <c:v>Rent</c:v>
                </c:pt>
                <c:pt idx="1">
                  <c:v>Mortgage Payments</c:v>
                </c:pt>
                <c:pt idx="2">
                  <c:v>Public Transport</c:v>
                </c:pt>
                <c:pt idx="3">
                  <c:v>Vehicle Registration</c:v>
                </c:pt>
                <c:pt idx="4">
                  <c:v>Fuel</c:v>
                </c:pt>
                <c:pt idx="5">
                  <c:v>Running Cost</c:v>
                </c:pt>
                <c:pt idx="6">
                  <c:v>Meals</c:v>
                </c:pt>
                <c:pt idx="7">
                  <c:v>Groceries</c:v>
                </c:pt>
                <c:pt idx="8">
                  <c:v>Electric</c:v>
                </c:pt>
                <c:pt idx="9">
                  <c:v>Gas</c:v>
                </c:pt>
                <c:pt idx="10">
                  <c:v>Water </c:v>
                </c:pt>
                <c:pt idx="11">
                  <c:v>Heatng Bills</c:v>
                </c:pt>
                <c:pt idx="12">
                  <c:v>House and Contents</c:v>
                </c:pt>
                <c:pt idx="13">
                  <c:v>Vehicle</c:v>
                </c:pt>
                <c:pt idx="14">
                  <c:v>Personal Liability </c:v>
                </c:pt>
                <c:pt idx="15">
                  <c:v>Subscriptions</c:v>
                </c:pt>
                <c:pt idx="16">
                  <c:v>Gym Memberships</c:v>
                </c:pt>
                <c:pt idx="17">
                  <c:v>Movies</c:v>
                </c:pt>
                <c:pt idx="18">
                  <c:v>Concerts</c:v>
                </c:pt>
                <c:pt idx="19">
                  <c:v>Outings</c:v>
                </c:pt>
                <c:pt idx="20">
                  <c:v>Dinners</c:v>
                </c:pt>
                <c:pt idx="21">
                  <c:v>Social Event</c:v>
                </c:pt>
                <c:pt idx="22">
                  <c:v>Student Loans</c:v>
                </c:pt>
                <c:pt idx="23">
                  <c:v>Personal Loans</c:v>
                </c:pt>
                <c:pt idx="24">
                  <c:v>Credit Card Expenses</c:v>
                </c:pt>
                <c:pt idx="25">
                  <c:v>Clothing </c:v>
                </c:pt>
                <c:pt idx="26">
                  <c:v>Well Being</c:v>
                </c:pt>
                <c:pt idx="27">
                  <c:v>Personal Hygiene</c:v>
                </c:pt>
                <c:pt idx="28">
                  <c:v>Misc.</c:v>
                </c:pt>
              </c:strCache>
            </c:strRef>
          </c:cat>
          <c:val>
            <c:numRef>
              <c:f>'Jan - March Budget'!$E$7:$E$35</c:f>
              <c:numCache>
                <c:formatCode>_("$"* #,##0.00_);_("$"* \(#,##0.00\);_("$"* "-"??_);_(@_)</c:formatCode>
                <c:ptCount val="29"/>
                <c:pt idx="0">
                  <c:v>6645</c:v>
                </c:pt>
                <c:pt idx="1">
                  <c:v>8218</c:v>
                </c:pt>
                <c:pt idx="2">
                  <c:v>0</c:v>
                </c:pt>
                <c:pt idx="3">
                  <c:v>0</c:v>
                </c:pt>
                <c:pt idx="4">
                  <c:v>5109</c:v>
                </c:pt>
                <c:pt idx="5">
                  <c:v>0</c:v>
                </c:pt>
                <c:pt idx="6">
                  <c:v>0</c:v>
                </c:pt>
                <c:pt idx="7">
                  <c:v>9910</c:v>
                </c:pt>
                <c:pt idx="8">
                  <c:v>7958</c:v>
                </c:pt>
                <c:pt idx="9">
                  <c:v>0</c:v>
                </c:pt>
                <c:pt idx="10">
                  <c:v>0</c:v>
                </c:pt>
                <c:pt idx="11">
                  <c:v>0</c:v>
                </c:pt>
                <c:pt idx="12">
                  <c:v>1768</c:v>
                </c:pt>
                <c:pt idx="13">
                  <c:v>0</c:v>
                </c:pt>
                <c:pt idx="14">
                  <c:v>6572</c:v>
                </c:pt>
                <c:pt idx="15">
                  <c:v>0</c:v>
                </c:pt>
                <c:pt idx="16">
                  <c:v>0</c:v>
                </c:pt>
                <c:pt idx="17">
                  <c:v>9804</c:v>
                </c:pt>
                <c:pt idx="18">
                  <c:v>0</c:v>
                </c:pt>
                <c:pt idx="19">
                  <c:v>0</c:v>
                </c:pt>
                <c:pt idx="20">
                  <c:v>2825</c:v>
                </c:pt>
                <c:pt idx="21">
                  <c:v>0</c:v>
                </c:pt>
                <c:pt idx="22" formatCode="&quot;$&quot;#,##0.00_);[Red]\(&quot;$&quot;#,##0.00\)">
                  <c:v>26379.748079474539</c:v>
                </c:pt>
                <c:pt idx="23">
                  <c:v>3787</c:v>
                </c:pt>
                <c:pt idx="24">
                  <c:v>7240</c:v>
                </c:pt>
                <c:pt idx="25">
                  <c:v>3823</c:v>
                </c:pt>
                <c:pt idx="26">
                  <c:v>0</c:v>
                </c:pt>
                <c:pt idx="27">
                  <c:v>0</c:v>
                </c:pt>
                <c:pt idx="28">
                  <c:v>8284</c:v>
                </c:pt>
              </c:numCache>
            </c:numRef>
          </c:val>
          <c:extLst>
            <c:ext xmlns:c16="http://schemas.microsoft.com/office/drawing/2014/chart" uri="{C3380CC4-5D6E-409C-BE32-E72D297353CC}">
              <c16:uniqueId val="{00000001-D62F-4F3A-9618-0225B402D711}"/>
            </c:ext>
          </c:extLst>
        </c:ser>
        <c:dLbls>
          <c:showLegendKey val="0"/>
          <c:showVal val="0"/>
          <c:showCatName val="0"/>
          <c:showSerName val="0"/>
          <c:showPercent val="0"/>
          <c:showBubbleSize val="0"/>
        </c:dLbls>
        <c:gapWidth val="219"/>
        <c:overlap val="-27"/>
        <c:axId val="749390767"/>
        <c:axId val="749397487"/>
      </c:barChart>
      <c:catAx>
        <c:axId val="749390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397487"/>
        <c:crosses val="autoZero"/>
        <c:auto val="1"/>
        <c:lblAlgn val="ctr"/>
        <c:lblOffset val="100"/>
        <c:noMultiLvlLbl val="0"/>
      </c:catAx>
      <c:valAx>
        <c:axId val="74939748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390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February Actual vs Budgeted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'Jan - March Budget'!$J$6</c:f>
              <c:strCache>
                <c:ptCount val="1"/>
                <c:pt idx="0">
                  <c:v>Actual</c:v>
                </c:pt>
              </c:strCache>
            </c:strRef>
          </c:tx>
          <c:spPr>
            <a:solidFill>
              <a:schemeClr val="accent1"/>
            </a:solidFill>
            <a:ln>
              <a:noFill/>
            </a:ln>
            <a:effectLst/>
          </c:spPr>
          <c:invertIfNegative val="0"/>
          <c:cat>
            <c:strRef>
              <c:f>'Jan - March Budget'!$I$7:$I$35</c:f>
              <c:strCache>
                <c:ptCount val="29"/>
                <c:pt idx="0">
                  <c:v>Rent</c:v>
                </c:pt>
                <c:pt idx="1">
                  <c:v>Mortgage Payments</c:v>
                </c:pt>
                <c:pt idx="2">
                  <c:v>Public Transport</c:v>
                </c:pt>
                <c:pt idx="3">
                  <c:v>Vehicle Registration</c:v>
                </c:pt>
                <c:pt idx="4">
                  <c:v>Fuel</c:v>
                </c:pt>
                <c:pt idx="5">
                  <c:v>Running Cost</c:v>
                </c:pt>
                <c:pt idx="6">
                  <c:v>Meals</c:v>
                </c:pt>
                <c:pt idx="7">
                  <c:v>Groceries</c:v>
                </c:pt>
                <c:pt idx="8">
                  <c:v>Electric</c:v>
                </c:pt>
                <c:pt idx="9">
                  <c:v>Gas</c:v>
                </c:pt>
                <c:pt idx="10">
                  <c:v>Water </c:v>
                </c:pt>
                <c:pt idx="11">
                  <c:v>Heatng Bills</c:v>
                </c:pt>
                <c:pt idx="12">
                  <c:v>House and Contents</c:v>
                </c:pt>
                <c:pt idx="13">
                  <c:v>Vehicle</c:v>
                </c:pt>
                <c:pt idx="14">
                  <c:v>Personal Liability </c:v>
                </c:pt>
                <c:pt idx="15">
                  <c:v>Subscriptions</c:v>
                </c:pt>
                <c:pt idx="16">
                  <c:v>Gym Memberships</c:v>
                </c:pt>
                <c:pt idx="17">
                  <c:v>Movies</c:v>
                </c:pt>
                <c:pt idx="18">
                  <c:v>Concerts</c:v>
                </c:pt>
                <c:pt idx="19">
                  <c:v>Outings</c:v>
                </c:pt>
                <c:pt idx="20">
                  <c:v>Dinners</c:v>
                </c:pt>
                <c:pt idx="21">
                  <c:v>Social Event</c:v>
                </c:pt>
                <c:pt idx="22">
                  <c:v>Student Loans</c:v>
                </c:pt>
                <c:pt idx="23">
                  <c:v>Personal Loans</c:v>
                </c:pt>
                <c:pt idx="24">
                  <c:v>Credit Card Expenses</c:v>
                </c:pt>
                <c:pt idx="25">
                  <c:v>Clothing </c:v>
                </c:pt>
                <c:pt idx="26">
                  <c:v>Well Being</c:v>
                </c:pt>
                <c:pt idx="27">
                  <c:v>Personal Hygiene</c:v>
                </c:pt>
                <c:pt idx="28">
                  <c:v>Misc.</c:v>
                </c:pt>
              </c:strCache>
            </c:strRef>
          </c:cat>
          <c:val>
            <c:numRef>
              <c:f>'Jan - March Budget'!$J$7:$J$35</c:f>
              <c:numCache>
                <c:formatCode>_("$"* #,##0.00_);_("$"* \(#,##0.00\);_("$"* "-"??_);_(@_)</c:formatCode>
                <c:ptCount val="29"/>
                <c:pt idx="0">
                  <c:v>1773</c:v>
                </c:pt>
                <c:pt idx="1">
                  <c:v>4821</c:v>
                </c:pt>
                <c:pt idx="2">
                  <c:v>4716</c:v>
                </c:pt>
                <c:pt idx="3">
                  <c:v>0</c:v>
                </c:pt>
                <c:pt idx="4">
                  <c:v>100</c:v>
                </c:pt>
                <c:pt idx="5">
                  <c:v>8857</c:v>
                </c:pt>
                <c:pt idx="6">
                  <c:v>6228</c:v>
                </c:pt>
                <c:pt idx="7">
                  <c:v>0</c:v>
                </c:pt>
                <c:pt idx="8">
                  <c:v>0</c:v>
                </c:pt>
                <c:pt idx="9">
                  <c:v>3379</c:v>
                </c:pt>
                <c:pt idx="10">
                  <c:v>0</c:v>
                </c:pt>
                <c:pt idx="11">
                  <c:v>0</c:v>
                </c:pt>
                <c:pt idx="12">
                  <c:v>0</c:v>
                </c:pt>
                <c:pt idx="13">
                  <c:v>1476</c:v>
                </c:pt>
                <c:pt idx="14">
                  <c:v>0</c:v>
                </c:pt>
                <c:pt idx="15">
                  <c:v>0</c:v>
                </c:pt>
                <c:pt idx="16">
                  <c:v>0</c:v>
                </c:pt>
                <c:pt idx="17">
                  <c:v>0</c:v>
                </c:pt>
                <c:pt idx="18">
                  <c:v>3575</c:v>
                </c:pt>
                <c:pt idx="19">
                  <c:v>0</c:v>
                </c:pt>
                <c:pt idx="20">
                  <c:v>0</c:v>
                </c:pt>
                <c:pt idx="21">
                  <c:v>933</c:v>
                </c:pt>
                <c:pt idx="22">
                  <c:v>0</c:v>
                </c:pt>
                <c:pt idx="23">
                  <c:v>0</c:v>
                </c:pt>
                <c:pt idx="24">
                  <c:v>4815</c:v>
                </c:pt>
                <c:pt idx="25">
                  <c:v>0</c:v>
                </c:pt>
                <c:pt idx="26">
                  <c:v>9765</c:v>
                </c:pt>
                <c:pt idx="27">
                  <c:v>0</c:v>
                </c:pt>
                <c:pt idx="28">
                  <c:v>0</c:v>
                </c:pt>
              </c:numCache>
            </c:numRef>
          </c:val>
          <c:extLst>
            <c:ext xmlns:c16="http://schemas.microsoft.com/office/drawing/2014/chart" uri="{C3380CC4-5D6E-409C-BE32-E72D297353CC}">
              <c16:uniqueId val="{00000000-6DD4-4F56-9605-2AA4AB0AF22F}"/>
            </c:ext>
          </c:extLst>
        </c:ser>
        <c:ser>
          <c:idx val="1"/>
          <c:order val="1"/>
          <c:tx>
            <c:strRef>
              <c:f>'Jan - March Budget'!$K$6</c:f>
              <c:strCache>
                <c:ptCount val="1"/>
                <c:pt idx="0">
                  <c:v>Budgeted</c:v>
                </c:pt>
              </c:strCache>
            </c:strRef>
          </c:tx>
          <c:spPr>
            <a:solidFill>
              <a:schemeClr val="accent2"/>
            </a:solidFill>
            <a:ln>
              <a:noFill/>
            </a:ln>
            <a:effectLst/>
          </c:spPr>
          <c:invertIfNegative val="0"/>
          <c:cat>
            <c:strRef>
              <c:f>'Jan - March Budget'!$I$7:$I$35</c:f>
              <c:strCache>
                <c:ptCount val="29"/>
                <c:pt idx="0">
                  <c:v>Rent</c:v>
                </c:pt>
                <c:pt idx="1">
                  <c:v>Mortgage Payments</c:v>
                </c:pt>
                <c:pt idx="2">
                  <c:v>Public Transport</c:v>
                </c:pt>
                <c:pt idx="3">
                  <c:v>Vehicle Registration</c:v>
                </c:pt>
                <c:pt idx="4">
                  <c:v>Fuel</c:v>
                </c:pt>
                <c:pt idx="5">
                  <c:v>Running Cost</c:v>
                </c:pt>
                <c:pt idx="6">
                  <c:v>Meals</c:v>
                </c:pt>
                <c:pt idx="7">
                  <c:v>Groceries</c:v>
                </c:pt>
                <c:pt idx="8">
                  <c:v>Electric</c:v>
                </c:pt>
                <c:pt idx="9">
                  <c:v>Gas</c:v>
                </c:pt>
                <c:pt idx="10">
                  <c:v>Water </c:v>
                </c:pt>
                <c:pt idx="11">
                  <c:v>Heatng Bills</c:v>
                </c:pt>
                <c:pt idx="12">
                  <c:v>House and Contents</c:v>
                </c:pt>
                <c:pt idx="13">
                  <c:v>Vehicle</c:v>
                </c:pt>
                <c:pt idx="14">
                  <c:v>Personal Liability </c:v>
                </c:pt>
                <c:pt idx="15">
                  <c:v>Subscriptions</c:v>
                </c:pt>
                <c:pt idx="16">
                  <c:v>Gym Memberships</c:v>
                </c:pt>
                <c:pt idx="17">
                  <c:v>Movies</c:v>
                </c:pt>
                <c:pt idx="18">
                  <c:v>Concerts</c:v>
                </c:pt>
                <c:pt idx="19">
                  <c:v>Outings</c:v>
                </c:pt>
                <c:pt idx="20">
                  <c:v>Dinners</c:v>
                </c:pt>
                <c:pt idx="21">
                  <c:v>Social Event</c:v>
                </c:pt>
                <c:pt idx="22">
                  <c:v>Student Loans</c:v>
                </c:pt>
                <c:pt idx="23">
                  <c:v>Personal Loans</c:v>
                </c:pt>
                <c:pt idx="24">
                  <c:v>Credit Card Expenses</c:v>
                </c:pt>
                <c:pt idx="25">
                  <c:v>Clothing </c:v>
                </c:pt>
                <c:pt idx="26">
                  <c:v>Well Being</c:v>
                </c:pt>
                <c:pt idx="27">
                  <c:v>Personal Hygiene</c:v>
                </c:pt>
                <c:pt idx="28">
                  <c:v>Misc.</c:v>
                </c:pt>
              </c:strCache>
            </c:strRef>
          </c:cat>
          <c:val>
            <c:numRef>
              <c:f>'Jan - March Budget'!$K$7:$K$35</c:f>
              <c:numCache>
                <c:formatCode>_("$"* #,##0.00_);_("$"* \(#,##0.00\);_("$"* "-"??_);_(@_)</c:formatCode>
                <c:ptCount val="29"/>
                <c:pt idx="0">
                  <c:v>7291</c:v>
                </c:pt>
                <c:pt idx="1">
                  <c:v>5344</c:v>
                </c:pt>
                <c:pt idx="2">
                  <c:v>8463</c:v>
                </c:pt>
                <c:pt idx="3">
                  <c:v>0</c:v>
                </c:pt>
                <c:pt idx="4">
                  <c:v>70</c:v>
                </c:pt>
                <c:pt idx="5">
                  <c:v>7511</c:v>
                </c:pt>
                <c:pt idx="6">
                  <c:v>3577</c:v>
                </c:pt>
                <c:pt idx="7">
                  <c:v>0</c:v>
                </c:pt>
                <c:pt idx="8">
                  <c:v>0</c:v>
                </c:pt>
                <c:pt idx="9">
                  <c:v>4247</c:v>
                </c:pt>
                <c:pt idx="10">
                  <c:v>0</c:v>
                </c:pt>
                <c:pt idx="11">
                  <c:v>0</c:v>
                </c:pt>
                <c:pt idx="12">
                  <c:v>0</c:v>
                </c:pt>
                <c:pt idx="13">
                  <c:v>188</c:v>
                </c:pt>
                <c:pt idx="14">
                  <c:v>0</c:v>
                </c:pt>
                <c:pt idx="15">
                  <c:v>0</c:v>
                </c:pt>
                <c:pt idx="16">
                  <c:v>0</c:v>
                </c:pt>
                <c:pt idx="17">
                  <c:v>0</c:v>
                </c:pt>
                <c:pt idx="18">
                  <c:v>4556</c:v>
                </c:pt>
                <c:pt idx="19">
                  <c:v>0</c:v>
                </c:pt>
                <c:pt idx="20">
                  <c:v>0</c:v>
                </c:pt>
                <c:pt idx="21">
                  <c:v>9419</c:v>
                </c:pt>
                <c:pt idx="22" formatCode="&quot;$&quot;#,##0.00_);[Red]\(&quot;$&quot;#,##0.00\)">
                  <c:v>26379.748079474539</c:v>
                </c:pt>
                <c:pt idx="23">
                  <c:v>0</c:v>
                </c:pt>
                <c:pt idx="24">
                  <c:v>9637</c:v>
                </c:pt>
                <c:pt idx="25">
                  <c:v>0</c:v>
                </c:pt>
                <c:pt idx="26">
                  <c:v>6565</c:v>
                </c:pt>
                <c:pt idx="27">
                  <c:v>0</c:v>
                </c:pt>
                <c:pt idx="28">
                  <c:v>0</c:v>
                </c:pt>
              </c:numCache>
            </c:numRef>
          </c:val>
          <c:extLst>
            <c:ext xmlns:c16="http://schemas.microsoft.com/office/drawing/2014/chart" uri="{C3380CC4-5D6E-409C-BE32-E72D297353CC}">
              <c16:uniqueId val="{00000001-6DD4-4F56-9605-2AA4AB0AF22F}"/>
            </c:ext>
          </c:extLst>
        </c:ser>
        <c:dLbls>
          <c:showLegendKey val="0"/>
          <c:showVal val="0"/>
          <c:showCatName val="0"/>
          <c:showSerName val="0"/>
          <c:showPercent val="0"/>
          <c:showBubbleSize val="0"/>
        </c:dLbls>
        <c:gapWidth val="219"/>
        <c:overlap val="-27"/>
        <c:axId val="482667311"/>
        <c:axId val="482653871"/>
      </c:barChart>
      <c:catAx>
        <c:axId val="482667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53871"/>
        <c:crosses val="autoZero"/>
        <c:auto val="1"/>
        <c:lblAlgn val="ctr"/>
        <c:lblOffset val="100"/>
        <c:noMultiLvlLbl val="0"/>
      </c:catAx>
      <c:valAx>
        <c:axId val="48265387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7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March Actual vs Budgeted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'Jan - March Budget'!$P$6</c:f>
              <c:strCache>
                <c:ptCount val="1"/>
              </c:strCache>
            </c:strRef>
          </c:tx>
          <c:spPr>
            <a:solidFill>
              <a:schemeClr val="accent1"/>
            </a:solidFill>
            <a:ln>
              <a:noFill/>
            </a:ln>
            <a:effectLst/>
          </c:spPr>
          <c:invertIfNegative val="0"/>
          <c:cat>
            <c:strRef>
              <c:f>'Jan - March Budget'!$O$7:$O$35</c:f>
              <c:strCache>
                <c:ptCount val="29"/>
                <c:pt idx="0">
                  <c:v>Rent</c:v>
                </c:pt>
                <c:pt idx="1">
                  <c:v>Mortgage Payments</c:v>
                </c:pt>
                <c:pt idx="2">
                  <c:v>Public Transport</c:v>
                </c:pt>
                <c:pt idx="3">
                  <c:v>Vehicle Registration</c:v>
                </c:pt>
                <c:pt idx="4">
                  <c:v>Fuel</c:v>
                </c:pt>
                <c:pt idx="5">
                  <c:v>Running Cost</c:v>
                </c:pt>
                <c:pt idx="6">
                  <c:v>Meals</c:v>
                </c:pt>
                <c:pt idx="7">
                  <c:v>Groceries</c:v>
                </c:pt>
                <c:pt idx="8">
                  <c:v>Electric</c:v>
                </c:pt>
                <c:pt idx="9">
                  <c:v>Gas</c:v>
                </c:pt>
                <c:pt idx="10">
                  <c:v>Water </c:v>
                </c:pt>
                <c:pt idx="11">
                  <c:v>Heatng Bills</c:v>
                </c:pt>
                <c:pt idx="12">
                  <c:v>House and Contents</c:v>
                </c:pt>
                <c:pt idx="13">
                  <c:v>Vehicle</c:v>
                </c:pt>
                <c:pt idx="14">
                  <c:v>Personal Liability </c:v>
                </c:pt>
                <c:pt idx="15">
                  <c:v>Subscriptions</c:v>
                </c:pt>
                <c:pt idx="16">
                  <c:v>Gym Memberships</c:v>
                </c:pt>
                <c:pt idx="17">
                  <c:v>Movies</c:v>
                </c:pt>
                <c:pt idx="18">
                  <c:v>Concerts</c:v>
                </c:pt>
                <c:pt idx="19">
                  <c:v>Outings</c:v>
                </c:pt>
                <c:pt idx="20">
                  <c:v>Dinners</c:v>
                </c:pt>
                <c:pt idx="21">
                  <c:v>Social Event</c:v>
                </c:pt>
                <c:pt idx="22">
                  <c:v>Student Loans</c:v>
                </c:pt>
                <c:pt idx="23">
                  <c:v>Personal Loans</c:v>
                </c:pt>
                <c:pt idx="24">
                  <c:v>Credit Card Expenses</c:v>
                </c:pt>
                <c:pt idx="25">
                  <c:v>Clothing </c:v>
                </c:pt>
                <c:pt idx="26">
                  <c:v>Well Being</c:v>
                </c:pt>
                <c:pt idx="27">
                  <c:v>Personal Hygiene</c:v>
                </c:pt>
                <c:pt idx="28">
                  <c:v>Misc.</c:v>
                </c:pt>
              </c:strCache>
            </c:strRef>
          </c:cat>
          <c:val>
            <c:numRef>
              <c:f>'Jan - March Budget'!$P$7:$P$35</c:f>
              <c:numCache>
                <c:formatCode>_("$"* #,##0.00_);_("$"* \(#,##0.00\);_("$"* "-"??_);_(@_)</c:formatCode>
                <c:ptCount val="29"/>
                <c:pt idx="0">
                  <c:v>630</c:v>
                </c:pt>
                <c:pt idx="1">
                  <c:v>1959</c:v>
                </c:pt>
                <c:pt idx="2">
                  <c:v>9652</c:v>
                </c:pt>
                <c:pt idx="3">
                  <c:v>2859</c:v>
                </c:pt>
                <c:pt idx="4">
                  <c:v>0</c:v>
                </c:pt>
                <c:pt idx="5">
                  <c:v>0</c:v>
                </c:pt>
                <c:pt idx="6">
                  <c:v>9076</c:v>
                </c:pt>
                <c:pt idx="7">
                  <c:v>3209</c:v>
                </c:pt>
                <c:pt idx="8">
                  <c:v>0</c:v>
                </c:pt>
                <c:pt idx="9">
                  <c:v>0</c:v>
                </c:pt>
                <c:pt idx="10">
                  <c:v>5801</c:v>
                </c:pt>
                <c:pt idx="11">
                  <c:v>0</c:v>
                </c:pt>
                <c:pt idx="12">
                  <c:v>0</c:v>
                </c:pt>
                <c:pt idx="13">
                  <c:v>0</c:v>
                </c:pt>
                <c:pt idx="14">
                  <c:v>7808</c:v>
                </c:pt>
                <c:pt idx="15">
                  <c:v>0</c:v>
                </c:pt>
                <c:pt idx="16">
                  <c:v>0</c:v>
                </c:pt>
                <c:pt idx="17">
                  <c:v>0</c:v>
                </c:pt>
                <c:pt idx="18">
                  <c:v>0</c:v>
                </c:pt>
                <c:pt idx="19">
                  <c:v>2012</c:v>
                </c:pt>
                <c:pt idx="20">
                  <c:v>0</c:v>
                </c:pt>
                <c:pt idx="21">
                  <c:v>0</c:v>
                </c:pt>
                <c:pt idx="22">
                  <c:v>9636</c:v>
                </c:pt>
                <c:pt idx="23">
                  <c:v>6373</c:v>
                </c:pt>
                <c:pt idx="24">
                  <c:v>0</c:v>
                </c:pt>
                <c:pt idx="25">
                  <c:v>0</c:v>
                </c:pt>
                <c:pt idx="26">
                  <c:v>0</c:v>
                </c:pt>
                <c:pt idx="27">
                  <c:v>7499</c:v>
                </c:pt>
                <c:pt idx="28">
                  <c:v>0</c:v>
                </c:pt>
              </c:numCache>
            </c:numRef>
          </c:val>
          <c:extLst>
            <c:ext xmlns:c16="http://schemas.microsoft.com/office/drawing/2014/chart" uri="{C3380CC4-5D6E-409C-BE32-E72D297353CC}">
              <c16:uniqueId val="{00000000-0409-4B20-ACFB-2D192B6A8548}"/>
            </c:ext>
          </c:extLst>
        </c:ser>
        <c:ser>
          <c:idx val="1"/>
          <c:order val="1"/>
          <c:tx>
            <c:strRef>
              <c:f>'Jan - March Budget'!$Q$6</c:f>
              <c:strCache>
                <c:ptCount val="1"/>
              </c:strCache>
            </c:strRef>
          </c:tx>
          <c:spPr>
            <a:solidFill>
              <a:schemeClr val="accent2"/>
            </a:solidFill>
            <a:ln>
              <a:noFill/>
            </a:ln>
            <a:effectLst/>
          </c:spPr>
          <c:invertIfNegative val="0"/>
          <c:cat>
            <c:strRef>
              <c:f>'Jan - March Budget'!$O$7:$O$35</c:f>
              <c:strCache>
                <c:ptCount val="29"/>
                <c:pt idx="0">
                  <c:v>Rent</c:v>
                </c:pt>
                <c:pt idx="1">
                  <c:v>Mortgage Payments</c:v>
                </c:pt>
                <c:pt idx="2">
                  <c:v>Public Transport</c:v>
                </c:pt>
                <c:pt idx="3">
                  <c:v>Vehicle Registration</c:v>
                </c:pt>
                <c:pt idx="4">
                  <c:v>Fuel</c:v>
                </c:pt>
                <c:pt idx="5">
                  <c:v>Running Cost</c:v>
                </c:pt>
                <c:pt idx="6">
                  <c:v>Meals</c:v>
                </c:pt>
                <c:pt idx="7">
                  <c:v>Groceries</c:v>
                </c:pt>
                <c:pt idx="8">
                  <c:v>Electric</c:v>
                </c:pt>
                <c:pt idx="9">
                  <c:v>Gas</c:v>
                </c:pt>
                <c:pt idx="10">
                  <c:v>Water </c:v>
                </c:pt>
                <c:pt idx="11">
                  <c:v>Heatng Bills</c:v>
                </c:pt>
                <c:pt idx="12">
                  <c:v>House and Contents</c:v>
                </c:pt>
                <c:pt idx="13">
                  <c:v>Vehicle</c:v>
                </c:pt>
                <c:pt idx="14">
                  <c:v>Personal Liability </c:v>
                </c:pt>
                <c:pt idx="15">
                  <c:v>Subscriptions</c:v>
                </c:pt>
                <c:pt idx="16">
                  <c:v>Gym Memberships</c:v>
                </c:pt>
                <c:pt idx="17">
                  <c:v>Movies</c:v>
                </c:pt>
                <c:pt idx="18">
                  <c:v>Concerts</c:v>
                </c:pt>
                <c:pt idx="19">
                  <c:v>Outings</c:v>
                </c:pt>
                <c:pt idx="20">
                  <c:v>Dinners</c:v>
                </c:pt>
                <c:pt idx="21">
                  <c:v>Social Event</c:v>
                </c:pt>
                <c:pt idx="22">
                  <c:v>Student Loans</c:v>
                </c:pt>
                <c:pt idx="23">
                  <c:v>Personal Loans</c:v>
                </c:pt>
                <c:pt idx="24">
                  <c:v>Credit Card Expenses</c:v>
                </c:pt>
                <c:pt idx="25">
                  <c:v>Clothing </c:v>
                </c:pt>
                <c:pt idx="26">
                  <c:v>Well Being</c:v>
                </c:pt>
                <c:pt idx="27">
                  <c:v>Personal Hygiene</c:v>
                </c:pt>
                <c:pt idx="28">
                  <c:v>Misc.</c:v>
                </c:pt>
              </c:strCache>
            </c:strRef>
          </c:cat>
          <c:val>
            <c:numRef>
              <c:f>'Jan - March Budget'!$Q$7:$Q$35</c:f>
              <c:numCache>
                <c:formatCode>_("$"* #,##0.00_);_("$"* \(#,##0.00\);_("$"* "-"??_);_(@_)</c:formatCode>
                <c:ptCount val="29"/>
                <c:pt idx="0">
                  <c:v>2392</c:v>
                </c:pt>
                <c:pt idx="1">
                  <c:v>7770</c:v>
                </c:pt>
                <c:pt idx="2">
                  <c:v>6387</c:v>
                </c:pt>
                <c:pt idx="3">
                  <c:v>947</c:v>
                </c:pt>
                <c:pt idx="4">
                  <c:v>0</c:v>
                </c:pt>
                <c:pt idx="5">
                  <c:v>0</c:v>
                </c:pt>
                <c:pt idx="6">
                  <c:v>1282</c:v>
                </c:pt>
                <c:pt idx="7">
                  <c:v>8129</c:v>
                </c:pt>
                <c:pt idx="8">
                  <c:v>0</c:v>
                </c:pt>
                <c:pt idx="9">
                  <c:v>0</c:v>
                </c:pt>
                <c:pt idx="10">
                  <c:v>5323</c:v>
                </c:pt>
                <c:pt idx="11">
                  <c:v>0</c:v>
                </c:pt>
                <c:pt idx="12">
                  <c:v>0</c:v>
                </c:pt>
                <c:pt idx="13">
                  <c:v>0</c:v>
                </c:pt>
                <c:pt idx="14">
                  <c:v>9383</c:v>
                </c:pt>
                <c:pt idx="15">
                  <c:v>0</c:v>
                </c:pt>
                <c:pt idx="16">
                  <c:v>0</c:v>
                </c:pt>
                <c:pt idx="17">
                  <c:v>0</c:v>
                </c:pt>
                <c:pt idx="18">
                  <c:v>0</c:v>
                </c:pt>
                <c:pt idx="19">
                  <c:v>1241</c:v>
                </c:pt>
                <c:pt idx="20">
                  <c:v>0</c:v>
                </c:pt>
                <c:pt idx="21">
                  <c:v>0</c:v>
                </c:pt>
                <c:pt idx="22" formatCode="&quot;$&quot;#,##0.00_);[Red]\(&quot;$&quot;#,##0.00\)">
                  <c:v>26379.748079474539</c:v>
                </c:pt>
                <c:pt idx="23">
                  <c:v>7751</c:v>
                </c:pt>
                <c:pt idx="24">
                  <c:v>0</c:v>
                </c:pt>
                <c:pt idx="25">
                  <c:v>0</c:v>
                </c:pt>
                <c:pt idx="26">
                  <c:v>0</c:v>
                </c:pt>
                <c:pt idx="27">
                  <c:v>8066</c:v>
                </c:pt>
                <c:pt idx="28">
                  <c:v>0</c:v>
                </c:pt>
              </c:numCache>
            </c:numRef>
          </c:val>
          <c:extLst>
            <c:ext xmlns:c16="http://schemas.microsoft.com/office/drawing/2014/chart" uri="{C3380CC4-5D6E-409C-BE32-E72D297353CC}">
              <c16:uniqueId val="{00000001-0409-4B20-ACFB-2D192B6A8548}"/>
            </c:ext>
          </c:extLst>
        </c:ser>
        <c:dLbls>
          <c:showLegendKey val="0"/>
          <c:showVal val="0"/>
          <c:showCatName val="0"/>
          <c:showSerName val="0"/>
          <c:showPercent val="0"/>
          <c:showBubbleSize val="0"/>
        </c:dLbls>
        <c:gapWidth val="219"/>
        <c:overlap val="-27"/>
        <c:axId val="749419087"/>
        <c:axId val="749419567"/>
      </c:barChart>
      <c:catAx>
        <c:axId val="74941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419567"/>
        <c:crosses val="autoZero"/>
        <c:auto val="1"/>
        <c:lblAlgn val="ctr"/>
        <c:lblOffset val="100"/>
        <c:noMultiLvlLbl val="0"/>
      </c:catAx>
      <c:valAx>
        <c:axId val="74941956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419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[Russo Final Project.xlsm]Pivot 1!PivotTable1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Actual</a:t>
            </a:r>
            <a:r>
              <a:rPr lang="en-US" baseline="0"/>
              <a:t> Expenses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s>
    <c:plotArea>
      <c:layout/>
      <c:lineChart>
        <c:grouping val="stacked"/>
        <c:varyColors val="0"/>
        <c:ser>
          <c:idx val="0"/>
          <c:order val="0"/>
          <c:tx>
            <c:strRef>
              <c:f>'Pivot 1'!$B$3</c:f>
              <c:strCache>
                <c:ptCount val="1"/>
                <c:pt idx="0">
                  <c:v>Sum of Actual Amount</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1'!$A$4:$A$11</c:f>
              <c:strCache>
                <c:ptCount val="7"/>
                <c:pt idx="0">
                  <c:v>Jan</c:v>
                </c:pt>
                <c:pt idx="1">
                  <c:v>Feb</c:v>
                </c:pt>
                <c:pt idx="2">
                  <c:v>Mar</c:v>
                </c:pt>
                <c:pt idx="3">
                  <c:v>Apr</c:v>
                </c:pt>
                <c:pt idx="4">
                  <c:v>May</c:v>
                </c:pt>
                <c:pt idx="5">
                  <c:v>Jun</c:v>
                </c:pt>
                <c:pt idx="6">
                  <c:v>Jul</c:v>
                </c:pt>
              </c:strCache>
            </c:strRef>
          </c:cat>
          <c:val>
            <c:numRef>
              <c:f>'Pivot 1'!$B$4:$B$11</c:f>
              <c:numCache>
                <c:formatCode>_("$"* #,##0.00_);_("$"* \(#,##0.00\);_("$"* "-"??_);_(@_)</c:formatCode>
                <c:ptCount val="7"/>
                <c:pt idx="0">
                  <c:v>76486</c:v>
                </c:pt>
                <c:pt idx="1">
                  <c:v>50438</c:v>
                </c:pt>
                <c:pt idx="2">
                  <c:v>68856</c:v>
                </c:pt>
                <c:pt idx="3">
                  <c:v>68065</c:v>
                </c:pt>
                <c:pt idx="4">
                  <c:v>71873</c:v>
                </c:pt>
                <c:pt idx="5">
                  <c:v>52289</c:v>
                </c:pt>
                <c:pt idx="6">
                  <c:v>64081</c:v>
                </c:pt>
              </c:numCache>
            </c:numRef>
          </c:val>
          <c:smooth val="0"/>
          <c:extLst>
            <c:ext xmlns:c16="http://schemas.microsoft.com/office/drawing/2014/chart" uri="{C3380CC4-5D6E-409C-BE32-E72D297353CC}">
              <c16:uniqueId val="{00000000-5DC1-4896-8871-572C0CB5FF4C}"/>
            </c:ext>
          </c:extLst>
        </c:ser>
        <c:ser>
          <c:idx val="1"/>
          <c:order val="1"/>
          <c:tx>
            <c:strRef>
              <c:f>'Pivot 1'!$C$3</c:f>
              <c:strCache>
                <c:ptCount val="1"/>
                <c:pt idx="0">
                  <c:v>Sum of Expected Amount</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'Pivot 1'!$A$4:$A$11</c:f>
              <c:strCache>
                <c:ptCount val="7"/>
                <c:pt idx="0">
                  <c:v>Jan</c:v>
                </c:pt>
                <c:pt idx="1">
                  <c:v>Feb</c:v>
                </c:pt>
                <c:pt idx="2">
                  <c:v>Mar</c:v>
                </c:pt>
                <c:pt idx="3">
                  <c:v>Apr</c:v>
                </c:pt>
                <c:pt idx="4">
                  <c:v>May</c:v>
                </c:pt>
                <c:pt idx="5">
                  <c:v>Jun</c:v>
                </c:pt>
                <c:pt idx="6">
                  <c:v>Jul</c:v>
                </c:pt>
              </c:strCache>
            </c:strRef>
          </c:cat>
          <c:val>
            <c:numRef>
              <c:f>'Pivot 1'!$C$4:$C$11</c:f>
              <c:numCache>
                <c:formatCode>_("$"* #,##0.00_);_("$"* \(#,##0.00\);_("$"* "-"??_);_(@_)</c:formatCode>
                <c:ptCount val="7"/>
                <c:pt idx="0">
                  <c:v>81943</c:v>
                </c:pt>
                <c:pt idx="1">
                  <c:v>66868</c:v>
                </c:pt>
                <c:pt idx="2">
                  <c:v>71797</c:v>
                </c:pt>
                <c:pt idx="3">
                  <c:v>57319</c:v>
                </c:pt>
                <c:pt idx="4">
                  <c:v>93262</c:v>
                </c:pt>
                <c:pt idx="5">
                  <c:v>70799</c:v>
                </c:pt>
                <c:pt idx="6">
                  <c:v>74605</c:v>
                </c:pt>
              </c:numCache>
            </c:numRef>
          </c:val>
          <c:smooth val="0"/>
          <c:extLst>
            <c:ext xmlns:c16="http://schemas.microsoft.com/office/drawing/2014/chart" uri="{C3380CC4-5D6E-409C-BE32-E72D297353CC}">
              <c16:uniqueId val="{00000000-741B-4309-BA46-C9C18345C45E}"/>
            </c:ext>
          </c:extLst>
        </c:ser>
        <c:dLbls>
          <c:showLegendKey val="0"/>
          <c:showVal val="0"/>
          <c:showCatName val="0"/>
          <c:showSerName val="0"/>
          <c:showPercent val="0"/>
          <c:showBubbleSize val="0"/>
        </c:dLbls>
        <c:marker val="1"/>
        <c:smooth val="0"/>
        <c:axId val="882694624"/>
        <c:axId val="882701824"/>
      </c:lineChart>
      <c:catAx>
        <c:axId val="8826946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2701824"/>
        <c:crosses val="autoZero"/>
        <c:auto val="1"/>
        <c:lblAlgn val="ctr"/>
        <c:lblOffset val="100"/>
        <c:noMultiLvlLbl val="0"/>
      </c:catAx>
      <c:valAx>
        <c:axId val="88270182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 Amount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2694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[Russo Final Project.xlsm]Pivot 2!PivotTable2</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Actual Spending per Category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
        <c:idx val="3"/>
        <c:spPr>
          <a:solidFill>
            <a:schemeClr val="lt1"/>
          </a:solidFill>
          <a:ln w="19050">
            <a:solidFill>
              <a:schemeClr val="accent1"/>
            </a:solidFill>
          </a:ln>
          <a:effectLst/>
        </c:spPr>
      </c:pivotFmt>
      <c:pivotFmt>
        <c:idx val="4"/>
        <c:spPr>
          <a:solidFill>
            <a:schemeClr val="lt1"/>
          </a:solidFill>
          <a:ln w="19050">
            <a:solidFill>
              <a:schemeClr val="accent1"/>
            </a:solidFill>
          </a:ln>
          <a:effectLst/>
        </c:spPr>
      </c:pivotFmt>
      <c:pivotFmt>
        <c:idx val="5"/>
        <c:spPr>
          <a:solidFill>
            <a:schemeClr val="lt1"/>
          </a:solidFill>
          <a:ln w="19050">
            <a:solidFill>
              <a:schemeClr val="accent1"/>
            </a:solidFill>
          </a:ln>
          <a:effectLst/>
        </c:spPr>
      </c:pivotFmt>
      <c:pivotFmt>
        <c:idx val="6"/>
        <c:spPr>
          <a:solidFill>
            <a:schemeClr val="lt1"/>
          </a:solidFill>
          <a:ln w="19050">
            <a:solidFill>
              <a:schemeClr val="accent1"/>
            </a:solidFill>
          </a:ln>
          <a:effectLst/>
        </c:spPr>
      </c:pivotFmt>
      <c:pivotFmt>
        <c:idx val="7"/>
        <c:spPr>
          <a:solidFill>
            <a:schemeClr val="lt1"/>
          </a:solidFill>
          <a:ln w="19050">
            <a:solidFill>
              <a:schemeClr val="accent1"/>
            </a:solidFill>
          </a:ln>
          <a:effectLst/>
        </c:spPr>
      </c:pivotFmt>
      <c:pivotFmt>
        <c:idx val="8"/>
        <c:spPr>
          <a:solidFill>
            <a:schemeClr val="lt1"/>
          </a:solidFill>
          <a:ln w="19050">
            <a:solidFill>
              <a:schemeClr val="accent1"/>
            </a:solidFill>
          </a:ln>
          <a:effectLst/>
        </c:spPr>
      </c:pivotFmt>
      <c:pivotFmt>
        <c:idx val="9"/>
        <c:spPr>
          <a:solidFill>
            <a:schemeClr val="lt1"/>
          </a:solidFill>
          <a:ln w="19050">
            <a:solidFill>
              <a:schemeClr val="accent1"/>
            </a:solidFill>
          </a:ln>
          <a:effectLst/>
        </c:spPr>
      </c:pivotFmt>
      <c:pivotFmt>
        <c:idx val="1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lt1"/>
          </a:solidFill>
          <a:ln w="19050">
            <a:solidFill>
              <a:schemeClr val="accent1"/>
            </a:solidFill>
          </a:ln>
          <a:effectLst/>
        </c:spPr>
      </c:pivotFmt>
      <c:pivotFmt>
        <c:idx val="12"/>
        <c:spPr>
          <a:solidFill>
            <a:schemeClr val="lt1"/>
          </a:solidFill>
          <a:ln w="19050">
            <a:solidFill>
              <a:schemeClr val="accent1"/>
            </a:solidFill>
          </a:ln>
          <a:effectLst/>
        </c:spPr>
      </c:pivotFmt>
      <c:pivotFmt>
        <c:idx val="13"/>
        <c:spPr>
          <a:solidFill>
            <a:schemeClr val="lt1"/>
          </a:solidFill>
          <a:ln w="19050">
            <a:solidFill>
              <a:schemeClr val="accent1"/>
            </a:solidFill>
          </a:ln>
          <a:effectLst/>
        </c:spPr>
      </c:pivotFmt>
      <c:pivotFmt>
        <c:idx val="14"/>
        <c:spPr>
          <a:solidFill>
            <a:schemeClr val="lt1"/>
          </a:solidFill>
          <a:ln w="19050">
            <a:solidFill>
              <a:schemeClr val="accent1"/>
            </a:solidFill>
          </a:ln>
          <a:effectLst/>
        </c:spPr>
      </c:pivotFmt>
      <c:pivotFmt>
        <c:idx val="15"/>
        <c:spPr>
          <a:solidFill>
            <a:schemeClr val="lt1"/>
          </a:solidFill>
          <a:ln w="19050">
            <a:solidFill>
              <a:schemeClr val="accent1"/>
            </a:solidFill>
          </a:ln>
          <a:effectLst/>
        </c:spPr>
      </c:pivotFmt>
      <c:pivotFmt>
        <c:idx val="16"/>
        <c:spPr>
          <a:solidFill>
            <a:schemeClr val="lt1"/>
          </a:solidFill>
          <a:ln w="19050">
            <a:solidFill>
              <a:schemeClr val="accent1"/>
            </a:solidFill>
          </a:ln>
          <a:effectLst/>
        </c:spPr>
      </c:pivotFmt>
      <c:pivotFmt>
        <c:idx val="17"/>
        <c:spPr>
          <a:solidFill>
            <a:schemeClr val="lt1"/>
          </a:solidFill>
          <a:ln w="19050">
            <a:solidFill>
              <a:schemeClr val="accent1"/>
            </a:solidFill>
          </a:ln>
          <a:effectLst/>
        </c:spPr>
      </c:pivotFmt>
      <c:pivotFmt>
        <c:idx val="18"/>
        <c:spPr>
          <a:solidFill>
            <a:schemeClr val="lt1"/>
          </a:solidFill>
          <a:ln w="19050">
            <a:solidFill>
              <a:schemeClr val="accent1"/>
            </a:solidFill>
          </a:ln>
          <a:effectLst/>
        </c:spPr>
      </c:pivotFmt>
    </c:pivotFmts>
    <c:plotArea>
      <c:layout/>
      <c:pieChart>
        <c:varyColors val="1"/>
        <c:ser>
          <c:idx val="0"/>
          <c:order val="0"/>
          <c:tx>
            <c:strRef>
              <c:f>'Pivot 2'!$B$4</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90F6-475E-9AD7-F2375149EB18}"/>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90F6-475E-9AD7-F2375149EB18}"/>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90F6-475E-9AD7-F2375149EB18}"/>
              </c:ext>
            </c:extLst>
          </c:dPt>
          <c:dPt>
            <c:idx val="3"/>
            <c:bubble3D val="0"/>
            <c:spPr>
              <a:solidFill>
                <a:schemeClr val="lt1"/>
              </a:solidFill>
              <a:ln w="19050">
                <a:solidFill>
                  <a:schemeClr val="accent1"/>
                </a:solidFill>
              </a:ln>
              <a:effectLst/>
            </c:spPr>
            <c:extLst>
              <c:ext xmlns:c16="http://schemas.microsoft.com/office/drawing/2014/chart" uri="{C3380CC4-5D6E-409C-BE32-E72D297353CC}">
                <c16:uniqueId val="{00000007-90F6-475E-9AD7-F2375149EB18}"/>
              </c:ext>
            </c:extLst>
          </c:dPt>
          <c:dPt>
            <c:idx val="4"/>
            <c:bubble3D val="0"/>
            <c:spPr>
              <a:solidFill>
                <a:schemeClr val="lt1"/>
              </a:solidFill>
              <a:ln w="19050">
                <a:solidFill>
                  <a:schemeClr val="accent1"/>
                </a:solidFill>
              </a:ln>
              <a:effectLst/>
            </c:spPr>
            <c:extLst>
              <c:ext xmlns:c16="http://schemas.microsoft.com/office/drawing/2014/chart" uri="{C3380CC4-5D6E-409C-BE32-E72D297353CC}">
                <c16:uniqueId val="{00000009-90F6-475E-9AD7-F2375149EB18}"/>
              </c:ext>
            </c:extLst>
          </c:dPt>
          <c:dPt>
            <c:idx val="5"/>
            <c:bubble3D val="0"/>
            <c:spPr>
              <a:solidFill>
                <a:schemeClr val="lt1"/>
              </a:solidFill>
              <a:ln w="19050">
                <a:solidFill>
                  <a:schemeClr val="accent1"/>
                </a:solidFill>
              </a:ln>
              <a:effectLst/>
            </c:spPr>
            <c:extLst>
              <c:ext xmlns:c16="http://schemas.microsoft.com/office/drawing/2014/chart" uri="{C3380CC4-5D6E-409C-BE32-E72D297353CC}">
                <c16:uniqueId val="{0000000B-90F6-475E-9AD7-F2375149EB18}"/>
              </c:ext>
            </c:extLst>
          </c:dPt>
          <c:dPt>
            <c:idx val="6"/>
            <c:bubble3D val="0"/>
            <c:spPr>
              <a:solidFill>
                <a:schemeClr val="lt1"/>
              </a:solidFill>
              <a:ln w="19050">
                <a:solidFill>
                  <a:schemeClr val="accent1"/>
                </a:solidFill>
              </a:ln>
              <a:effectLst/>
            </c:spPr>
            <c:extLst>
              <c:ext xmlns:c16="http://schemas.microsoft.com/office/drawing/2014/chart" uri="{C3380CC4-5D6E-409C-BE32-E72D297353CC}">
                <c16:uniqueId val="{0000000D-90F6-475E-9AD7-F2375149EB18}"/>
              </c:ext>
            </c:extLst>
          </c:dPt>
          <c:dPt>
            <c:idx val="7"/>
            <c:bubble3D val="0"/>
            <c:spPr>
              <a:solidFill>
                <a:schemeClr val="lt1"/>
              </a:solidFill>
              <a:ln w="19050">
                <a:solidFill>
                  <a:schemeClr val="accent1"/>
                </a:solidFill>
              </a:ln>
              <a:effectLst/>
            </c:spPr>
            <c:extLst>
              <c:ext xmlns:c16="http://schemas.microsoft.com/office/drawing/2014/chart" uri="{C3380CC4-5D6E-409C-BE32-E72D297353CC}">
                <c16:uniqueId val="{0000000F-90F6-475E-9AD7-F2375149EB18}"/>
              </c:ext>
            </c:extLst>
          </c:dPt>
          <c:dPt>
            <c:idx val="8"/>
            <c:bubble3D val="0"/>
            <c:spPr>
              <a:solidFill>
                <a:schemeClr val="lt1"/>
              </a:solidFill>
              <a:ln w="19050">
                <a:solidFill>
                  <a:schemeClr val="accent1"/>
                </a:solidFill>
              </a:ln>
              <a:effectLst/>
            </c:spPr>
            <c:extLst>
              <c:ext xmlns:c16="http://schemas.microsoft.com/office/drawing/2014/chart" uri="{C3380CC4-5D6E-409C-BE32-E72D297353CC}">
                <c16:uniqueId val="{00000011-90F6-475E-9AD7-F2375149EB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 2'!$A$5:$A$13</c:f>
              <c:strCache>
                <c:ptCount val="8"/>
                <c:pt idx="0">
                  <c:v>Debts</c:v>
                </c:pt>
                <c:pt idx="1">
                  <c:v>Food</c:v>
                </c:pt>
                <c:pt idx="2">
                  <c:v>Housing</c:v>
                </c:pt>
                <c:pt idx="3">
                  <c:v>Insurance</c:v>
                </c:pt>
                <c:pt idx="4">
                  <c:v>Leisure</c:v>
                </c:pt>
                <c:pt idx="5">
                  <c:v>Personal</c:v>
                </c:pt>
                <c:pt idx="6">
                  <c:v>Transportation</c:v>
                </c:pt>
                <c:pt idx="7">
                  <c:v>Utilities</c:v>
                </c:pt>
              </c:strCache>
            </c:strRef>
          </c:cat>
          <c:val>
            <c:numRef>
              <c:f>'Pivot 2'!$B$5:$B$13</c:f>
              <c:numCache>
                <c:formatCode>_("$"* #,##0.00_);_("$"* \(#,##0.00\);_("$"* "-"??_);_(@_)</c:formatCode>
                <c:ptCount val="8"/>
                <c:pt idx="0">
                  <c:v>60772</c:v>
                </c:pt>
                <c:pt idx="1">
                  <c:v>67082</c:v>
                </c:pt>
                <c:pt idx="2">
                  <c:v>52766</c:v>
                </c:pt>
                <c:pt idx="3">
                  <c:v>56508</c:v>
                </c:pt>
                <c:pt idx="4">
                  <c:v>43430</c:v>
                </c:pt>
                <c:pt idx="5">
                  <c:v>62496</c:v>
                </c:pt>
                <c:pt idx="6">
                  <c:v>60509</c:v>
                </c:pt>
                <c:pt idx="7">
                  <c:v>48525</c:v>
                </c:pt>
              </c:numCache>
            </c:numRef>
          </c:val>
          <c:extLst>
            <c:ext xmlns:c16="http://schemas.microsoft.com/office/drawing/2014/chart" uri="{C3380CC4-5D6E-409C-BE32-E72D297353CC}">
              <c16:uniqueId val="{00000000-4658-49A1-913B-C24F95F47D13}"/>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[Russo Final Project.xlsm]Pivot 3!PivotTable1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 3'!$B$3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3'!$A$4:$A$10</c:f>
              <c:strCache>
                <c:ptCount val="6"/>
                <c:pt idx="0">
                  <c:v>1/1/2025</c:v>
                </c:pt>
                <c:pt idx="1">
                  <c:v>2/1/2025</c:v>
                </c:pt>
                <c:pt idx="2">
                  <c:v>3/1/2025</c:v>
                </c:pt>
                <c:pt idx="3">
                  <c:v>4/1/2025</c:v>
                </c:pt>
                <c:pt idx="4">
                  <c:v>5/1/2025</c:v>
                </c:pt>
                <c:pt idx="5">
                  <c:v>6/1/2025</c:v>
                </c:pt>
              </c:strCache>
            </c:strRef>
          </c:cat>
          <c:val>
            <c:numRef>
              <c:f>'Pivot 3'!$B$4:$B$10</c:f>
              <c:numCache>
                <c:formatCode>_("$"* #,##0_);_("$"* \(#,##0\);_("$"* "-"??_);_(@_)</c:formatCode>
                <c:ptCount val="6"/>
                <c:pt idx="0">
                  <c:v>110000</c:v>
                </c:pt>
                <c:pt idx="1">
                  <c:v>120000</c:v>
                </c:pt>
                <c:pt idx="2">
                  <c:v>130000</c:v>
                </c:pt>
                <c:pt idx="3">
                  <c:v>100000</c:v>
                </c:pt>
                <c:pt idx="4">
                  <c:v>130000</c:v>
                </c:pt>
                <c:pt idx="5">
                  <c:v>120000</c:v>
                </c:pt>
              </c:numCache>
            </c:numRef>
          </c:val>
          <c:smooth val="0"/>
          <c:extLst>
            <c:ext xmlns:c16="http://schemas.microsoft.com/office/drawing/2014/chart" uri="{C3380CC4-5D6E-409C-BE32-E72D297353CC}">
              <c16:uniqueId val="{00000000-D423-4D9A-A5BB-1F7EC8D9F64D}"/>
            </c:ext>
          </c:extLst>
        </c:ser>
        <c:dLbls>
          <c:showLegendKey val="0"/>
          <c:showVal val="0"/>
          <c:showCatName val="0"/>
          <c:showSerName val="0"/>
          <c:showPercent val="0"/>
          <c:showBubbleSize val="0"/>
        </c:dLbls>
        <c:marker val="1"/>
        <c:smooth val="0"/>
        <c:axId val="1100124688"/>
        <c:axId val="1100131888"/>
      </c:lineChart>
      <c:catAx>
        <c:axId val="110012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0131888"/>
        <c:crosses val="autoZero"/>
        <c:auto val="1"/>
        <c:lblAlgn val="ctr"/>
        <c:lblOffset val="100"/>
        <c:noMultiLvlLbl val="0"/>
      </c:catAx>
      <c:valAx>
        <c:axId val="110013188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0124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104775</xdr:rowOff>
    </xdr:from>
    <xdr:to>
      <xdr:col>29</xdr:col>
      <xdr:colOff>276225</xdr:colOff>
      <xdr:row>37</xdr:row>
      <xdr:rowOff>133350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0" y="104775"/>
          <a:ext cx="19611975" cy="6636544"/>
          <a:chOff x="0" y="0"/>
          <a:chExt cx="23963313" cy="6843713"/>
        </a:xfrm>
      </xdr:grpSpPr>
      <xdr:grpSp>
        <xdr:nvGrpSpPr>
          <xdr:cNvPr id="3" name="Group 2">
            <a:extLst>
              <a:ext uri="{FF2B5EF4-FFF2-40B4-BE49-F238E27FC236}">
                <a16:creationId xmlns:a16="http://schemas.microsoft.com/office/drawing/2014/main" id="{00000000-0008-0000-0000-000003000000}"/>
              </a:ext>
            </a:extLst>
          </xdr:cNvPr>
          <xdr:cNvGrpSpPr/>
        </xdr:nvGrpSpPr>
        <xdr:grpSpPr>
          <a:xfrm>
            <a:off x="0" y="0"/>
            <a:ext cx="23963313" cy="6843713"/>
            <a:chOff x="-1827158" y="-811849"/>
            <a:chExt cx="14349180" cy="8392101"/>
          </a:xfrm>
        </xdr:grpSpPr>
        <xdr:grpSp>
          <xdr:nvGrpSpPr>
            <xdr:cNvPr id="5" name="Group 4">
              <a:extLst>
                <a:ext uri="{FF2B5EF4-FFF2-40B4-BE49-F238E27FC236}">
                  <a16:creationId xmlns:a16="http://schemas.microsoft.com/office/drawing/2014/main" id="{00000000-0008-0000-0000-000005000000}"/>
                </a:ext>
              </a:extLst>
            </xdr:cNvPr>
            <xdr:cNvGrpSpPr/>
          </xdr:nvGrpSpPr>
          <xdr:grpSpPr>
            <a:xfrm>
              <a:off x="-1827158" y="-811849"/>
              <a:ext cx="14349180" cy="8392101"/>
              <a:chOff x="-1857024" y="-730886"/>
              <a:chExt cx="14349180" cy="8392101"/>
            </a:xfrm>
          </xdr:grpSpPr>
          <xdr:sp macro="" textlink="">
            <xdr:nvSpPr>
              <xdr:cNvPr id="18" name="Rectangle: Rounded Corners 17">
                <a:extLst>
                  <a:ext uri="{FF2B5EF4-FFF2-40B4-BE49-F238E27FC236}">
                    <a16:creationId xmlns:a16="http://schemas.microsoft.com/office/drawing/2014/main" id="{00000000-0008-0000-0000-000012000000}"/>
                  </a:ext>
                </a:extLst>
              </xdr:cNvPr>
              <xdr:cNvSpPr/>
            </xdr:nvSpPr>
            <xdr:spPr>
              <a:xfrm>
                <a:off x="-1857024" y="-730886"/>
                <a:ext cx="14349180" cy="8392101"/>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4315211" y="-526382"/>
                <a:ext cx="2538621" cy="1019429"/>
              </a:xfrm>
              <a:prstGeom prst="round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t"/>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r>
                  <a:rPr lang="en-US" sz="2800" b="1"/>
                  <a:t>Summary </a:t>
                </a:r>
                <a:endParaRPr lang="en-US" b="1"/>
              </a:p>
            </xdr:txBody>
          </xdr:sp>
        </xdr:grpSp>
        <xdr:sp macro="" textlink="$N$38">
          <xdr:nvSpPr>
            <xdr:cNvPr id="7" name="Rectangle: Rounded Corners 6">
              <a:extLst>
                <a:ext uri="{FF2B5EF4-FFF2-40B4-BE49-F238E27FC236}">
                  <a16:creationId xmlns:a16="http://schemas.microsoft.com/office/drawing/2014/main" id="{00000000-0008-0000-0000-000007000000}"/>
                </a:ext>
              </a:extLst>
            </xdr:cNvPr>
            <xdr:cNvSpPr/>
          </xdr:nvSpPr>
          <xdr:spPr>
            <a:xfrm>
              <a:off x="-1659421" y="815800"/>
              <a:ext cx="3743596" cy="4420039"/>
            </a:xfrm>
            <a:prstGeom prst="round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US" sz="4400"/>
            </a:p>
          </xdr:txBody>
        </xdr:sp>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9907816" y="210066"/>
              <a:ext cx="2366120" cy="5890167"/>
            </a:xfrm>
            <a:prstGeom prst="round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p>
              <a:pPr marL="0" indent="0" algn="ctr" defTabSz="914400" rtl="0" eaLnBrk="1" latinLnBrk="0" hangingPunct="1"/>
              <a:r>
                <a:rPr lang="en-US" sz="2000" b="1" i="0" u="none" strike="noStrike" kern="1200">
                  <a:solidFill>
                    <a:srgbClr val="000000"/>
                  </a:solidFill>
                  <a:latin typeface="Aptos Narrow"/>
                  <a:ea typeface="+mn-ea"/>
                  <a:cs typeface="+mn-cs"/>
                </a:rPr>
                <a:t> </a:t>
              </a:r>
            </a:p>
          </xdr:txBody>
        </xdr:sp>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2287356" y="787993"/>
              <a:ext cx="3692904" cy="4417981"/>
            </a:xfrm>
            <a:prstGeom prst="round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p>
              <a:pPr marL="0" indent="0" algn="ctr" defTabSz="914400" rtl="0" eaLnBrk="1" latinLnBrk="0" hangingPunct="1"/>
              <a:r>
                <a:rPr lang="en-US" sz="2000" b="1" i="0" u="none" strike="noStrike" kern="1200">
                  <a:solidFill>
                    <a:srgbClr val="000000"/>
                  </a:solidFill>
                  <a:latin typeface="Aptos Narrow"/>
                  <a:ea typeface="+mn-ea"/>
                  <a:cs typeface="+mn-cs"/>
                </a:rPr>
                <a:t> </a:t>
              </a:r>
            </a:p>
          </xdr:txBody>
        </xdr:sp>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1491499" y="5484376"/>
              <a:ext cx="7965372" cy="1610647"/>
            </a:xfrm>
            <a:prstGeom prst="round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p>
              <a:pPr marL="0" indent="0" algn="ctr" defTabSz="914400" rtl="0" eaLnBrk="1" latinLnBrk="0" hangingPunct="1"/>
              <a:r>
                <a:rPr lang="en-US" sz="2000" b="1" i="0" u="none" strike="noStrike" kern="1200">
                  <a:solidFill>
                    <a:srgbClr val="000000"/>
                  </a:solidFill>
                  <a:latin typeface="Aptos Narrow"/>
                  <a:ea typeface="+mn-ea"/>
                  <a:cs typeface="+mn-cs"/>
                </a:rPr>
                <a:t> </a:t>
              </a:r>
            </a:p>
          </xdr:txBody>
        </xdr:sp>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6250971" y="828746"/>
              <a:ext cx="3511007" cy="4451891"/>
            </a:xfrm>
            <a:prstGeom prst="roundRect">
              <a:avLst/>
            </a:prstGeom>
            <a:solidFill>
              <a:schemeClr val="accent1">
                <a:lumMod val="7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p>
              <a:pPr marL="0" indent="0" algn="ctr" defTabSz="914400" rtl="0" eaLnBrk="1" latinLnBrk="0" hangingPunct="1"/>
              <a:r>
                <a:rPr lang="en-US" sz="2000" b="1" i="0" u="none" strike="noStrike" kern="1200">
                  <a:solidFill>
                    <a:srgbClr val="000000"/>
                  </a:solidFill>
                  <a:latin typeface="Aptos Narrow"/>
                  <a:ea typeface="+mn-ea"/>
                  <a:cs typeface="+mn-cs"/>
                </a:rPr>
                <a:t> </a:t>
              </a:r>
            </a:p>
          </xdr:txBody>
        </xdr:sp>
        <xdr:sp macro="" textlink="">
          <xdr:nvSpPr>
            <xdr:cNvPr id="15" name="Graphic 34" descr="Calculator with solid fill">
              <a:extLst>
                <a:ext uri="{FF2B5EF4-FFF2-40B4-BE49-F238E27FC236}">
                  <a16:creationId xmlns:a16="http://schemas.microsoft.com/office/drawing/2014/main" id="{00000000-0008-0000-0000-00000F000000}"/>
                </a:ext>
              </a:extLst>
            </xdr:cNvPr>
            <xdr:cNvSpPr/>
          </xdr:nvSpPr>
          <xdr:spPr>
            <a:xfrm>
              <a:off x="1109887" y="2743298"/>
              <a:ext cx="533400" cy="762000"/>
            </a:xfrm>
            <a:custGeom>
              <a:avLst/>
              <a:gdLst>
                <a:gd name="connsiteX0" fmla="*/ 438150 w 533400"/>
                <a:gd name="connsiteY0" fmla="*/ 247650 h 762000"/>
                <a:gd name="connsiteX1" fmla="*/ 95250 w 533400"/>
                <a:gd name="connsiteY1" fmla="*/ 247650 h 762000"/>
                <a:gd name="connsiteX2" fmla="*/ 95250 w 533400"/>
                <a:gd name="connsiteY2" fmla="*/ 95250 h 762000"/>
                <a:gd name="connsiteX3" fmla="*/ 438150 w 533400"/>
                <a:gd name="connsiteY3" fmla="*/ 95250 h 762000"/>
                <a:gd name="connsiteX4" fmla="*/ 438150 w 533400"/>
                <a:gd name="connsiteY4" fmla="*/ 247650 h 762000"/>
                <a:gd name="connsiteX5" fmla="*/ 438150 w 533400"/>
                <a:gd name="connsiteY5" fmla="*/ 381000 h 762000"/>
                <a:gd name="connsiteX6" fmla="*/ 381000 w 533400"/>
                <a:gd name="connsiteY6" fmla="*/ 381000 h 762000"/>
                <a:gd name="connsiteX7" fmla="*/ 381000 w 533400"/>
                <a:gd name="connsiteY7" fmla="*/ 323850 h 762000"/>
                <a:gd name="connsiteX8" fmla="*/ 438150 w 533400"/>
                <a:gd name="connsiteY8" fmla="*/ 323850 h 762000"/>
                <a:gd name="connsiteX9" fmla="*/ 438150 w 533400"/>
                <a:gd name="connsiteY9" fmla="*/ 381000 h 762000"/>
                <a:gd name="connsiteX10" fmla="*/ 438150 w 533400"/>
                <a:gd name="connsiteY10" fmla="*/ 476250 h 762000"/>
                <a:gd name="connsiteX11" fmla="*/ 381000 w 533400"/>
                <a:gd name="connsiteY11" fmla="*/ 476250 h 762000"/>
                <a:gd name="connsiteX12" fmla="*/ 381000 w 533400"/>
                <a:gd name="connsiteY12" fmla="*/ 419100 h 762000"/>
                <a:gd name="connsiteX13" fmla="*/ 438150 w 533400"/>
                <a:gd name="connsiteY13" fmla="*/ 419100 h 762000"/>
                <a:gd name="connsiteX14" fmla="*/ 438150 w 533400"/>
                <a:gd name="connsiteY14" fmla="*/ 476250 h 762000"/>
                <a:gd name="connsiteX15" fmla="*/ 438150 w 533400"/>
                <a:gd name="connsiteY15" fmla="*/ 571500 h 762000"/>
                <a:gd name="connsiteX16" fmla="*/ 381000 w 533400"/>
                <a:gd name="connsiteY16" fmla="*/ 571500 h 762000"/>
                <a:gd name="connsiteX17" fmla="*/ 381000 w 533400"/>
                <a:gd name="connsiteY17" fmla="*/ 514350 h 762000"/>
                <a:gd name="connsiteX18" fmla="*/ 438150 w 533400"/>
                <a:gd name="connsiteY18" fmla="*/ 514350 h 762000"/>
                <a:gd name="connsiteX19" fmla="*/ 438150 w 533400"/>
                <a:gd name="connsiteY19" fmla="*/ 571500 h 762000"/>
                <a:gd name="connsiteX20" fmla="*/ 438150 w 533400"/>
                <a:gd name="connsiteY20" fmla="*/ 666750 h 762000"/>
                <a:gd name="connsiteX21" fmla="*/ 381000 w 533400"/>
                <a:gd name="connsiteY21" fmla="*/ 666750 h 762000"/>
                <a:gd name="connsiteX22" fmla="*/ 381000 w 533400"/>
                <a:gd name="connsiteY22" fmla="*/ 609600 h 762000"/>
                <a:gd name="connsiteX23" fmla="*/ 438150 w 533400"/>
                <a:gd name="connsiteY23" fmla="*/ 609600 h 762000"/>
                <a:gd name="connsiteX24" fmla="*/ 438150 w 533400"/>
                <a:gd name="connsiteY24" fmla="*/ 666750 h 762000"/>
                <a:gd name="connsiteX25" fmla="*/ 342900 w 533400"/>
                <a:gd name="connsiteY25" fmla="*/ 381000 h 762000"/>
                <a:gd name="connsiteX26" fmla="*/ 285750 w 533400"/>
                <a:gd name="connsiteY26" fmla="*/ 381000 h 762000"/>
                <a:gd name="connsiteX27" fmla="*/ 285750 w 533400"/>
                <a:gd name="connsiteY27" fmla="*/ 323850 h 762000"/>
                <a:gd name="connsiteX28" fmla="*/ 342900 w 533400"/>
                <a:gd name="connsiteY28" fmla="*/ 323850 h 762000"/>
                <a:gd name="connsiteX29" fmla="*/ 342900 w 533400"/>
                <a:gd name="connsiteY29" fmla="*/ 381000 h 762000"/>
                <a:gd name="connsiteX30" fmla="*/ 342900 w 533400"/>
                <a:gd name="connsiteY30" fmla="*/ 476250 h 762000"/>
                <a:gd name="connsiteX31" fmla="*/ 285750 w 533400"/>
                <a:gd name="connsiteY31" fmla="*/ 476250 h 762000"/>
                <a:gd name="connsiteX32" fmla="*/ 285750 w 533400"/>
                <a:gd name="connsiteY32" fmla="*/ 419100 h 762000"/>
                <a:gd name="connsiteX33" fmla="*/ 342900 w 533400"/>
                <a:gd name="connsiteY33" fmla="*/ 419100 h 762000"/>
                <a:gd name="connsiteX34" fmla="*/ 342900 w 533400"/>
                <a:gd name="connsiteY34" fmla="*/ 476250 h 762000"/>
                <a:gd name="connsiteX35" fmla="*/ 342900 w 533400"/>
                <a:gd name="connsiteY35" fmla="*/ 571500 h 762000"/>
                <a:gd name="connsiteX36" fmla="*/ 285750 w 533400"/>
                <a:gd name="connsiteY36" fmla="*/ 571500 h 762000"/>
                <a:gd name="connsiteX37" fmla="*/ 285750 w 533400"/>
                <a:gd name="connsiteY37" fmla="*/ 514350 h 762000"/>
                <a:gd name="connsiteX38" fmla="*/ 342900 w 533400"/>
                <a:gd name="connsiteY38" fmla="*/ 514350 h 762000"/>
                <a:gd name="connsiteX39" fmla="*/ 342900 w 533400"/>
                <a:gd name="connsiteY39" fmla="*/ 571500 h 762000"/>
                <a:gd name="connsiteX40" fmla="*/ 342900 w 533400"/>
                <a:gd name="connsiteY40" fmla="*/ 666750 h 762000"/>
                <a:gd name="connsiteX41" fmla="*/ 285750 w 533400"/>
                <a:gd name="connsiteY41" fmla="*/ 666750 h 762000"/>
                <a:gd name="connsiteX42" fmla="*/ 285750 w 533400"/>
                <a:gd name="connsiteY42" fmla="*/ 609600 h 762000"/>
                <a:gd name="connsiteX43" fmla="*/ 342900 w 533400"/>
                <a:gd name="connsiteY43" fmla="*/ 609600 h 762000"/>
                <a:gd name="connsiteX44" fmla="*/ 342900 w 533400"/>
                <a:gd name="connsiteY44" fmla="*/ 666750 h 762000"/>
                <a:gd name="connsiteX45" fmla="*/ 247650 w 533400"/>
                <a:gd name="connsiteY45" fmla="*/ 381000 h 762000"/>
                <a:gd name="connsiteX46" fmla="*/ 190500 w 533400"/>
                <a:gd name="connsiteY46" fmla="*/ 381000 h 762000"/>
                <a:gd name="connsiteX47" fmla="*/ 190500 w 533400"/>
                <a:gd name="connsiteY47" fmla="*/ 323850 h 762000"/>
                <a:gd name="connsiteX48" fmla="*/ 247650 w 533400"/>
                <a:gd name="connsiteY48" fmla="*/ 323850 h 762000"/>
                <a:gd name="connsiteX49" fmla="*/ 247650 w 533400"/>
                <a:gd name="connsiteY49" fmla="*/ 381000 h 762000"/>
                <a:gd name="connsiteX50" fmla="*/ 247650 w 533400"/>
                <a:gd name="connsiteY50" fmla="*/ 476250 h 762000"/>
                <a:gd name="connsiteX51" fmla="*/ 190500 w 533400"/>
                <a:gd name="connsiteY51" fmla="*/ 476250 h 762000"/>
                <a:gd name="connsiteX52" fmla="*/ 190500 w 533400"/>
                <a:gd name="connsiteY52" fmla="*/ 419100 h 762000"/>
                <a:gd name="connsiteX53" fmla="*/ 247650 w 533400"/>
                <a:gd name="connsiteY53" fmla="*/ 419100 h 762000"/>
                <a:gd name="connsiteX54" fmla="*/ 247650 w 533400"/>
                <a:gd name="connsiteY54" fmla="*/ 476250 h 762000"/>
                <a:gd name="connsiteX55" fmla="*/ 247650 w 533400"/>
                <a:gd name="connsiteY55" fmla="*/ 571500 h 762000"/>
                <a:gd name="connsiteX56" fmla="*/ 190500 w 533400"/>
                <a:gd name="connsiteY56" fmla="*/ 571500 h 762000"/>
                <a:gd name="connsiteX57" fmla="*/ 190500 w 533400"/>
                <a:gd name="connsiteY57" fmla="*/ 514350 h 762000"/>
                <a:gd name="connsiteX58" fmla="*/ 247650 w 533400"/>
                <a:gd name="connsiteY58" fmla="*/ 514350 h 762000"/>
                <a:gd name="connsiteX59" fmla="*/ 247650 w 533400"/>
                <a:gd name="connsiteY59" fmla="*/ 571500 h 762000"/>
                <a:gd name="connsiteX60" fmla="*/ 247650 w 533400"/>
                <a:gd name="connsiteY60" fmla="*/ 666750 h 762000"/>
                <a:gd name="connsiteX61" fmla="*/ 95250 w 533400"/>
                <a:gd name="connsiteY61" fmla="*/ 666750 h 762000"/>
                <a:gd name="connsiteX62" fmla="*/ 95250 w 533400"/>
                <a:gd name="connsiteY62" fmla="*/ 609600 h 762000"/>
                <a:gd name="connsiteX63" fmla="*/ 247650 w 533400"/>
                <a:gd name="connsiteY63" fmla="*/ 609600 h 762000"/>
                <a:gd name="connsiteX64" fmla="*/ 247650 w 533400"/>
                <a:gd name="connsiteY64" fmla="*/ 666750 h 762000"/>
                <a:gd name="connsiteX65" fmla="*/ 95250 w 533400"/>
                <a:gd name="connsiteY65" fmla="*/ 514350 h 762000"/>
                <a:gd name="connsiteX66" fmla="*/ 152400 w 533400"/>
                <a:gd name="connsiteY66" fmla="*/ 514350 h 762000"/>
                <a:gd name="connsiteX67" fmla="*/ 152400 w 533400"/>
                <a:gd name="connsiteY67" fmla="*/ 571500 h 762000"/>
                <a:gd name="connsiteX68" fmla="*/ 95250 w 533400"/>
                <a:gd name="connsiteY68" fmla="*/ 571500 h 762000"/>
                <a:gd name="connsiteX69" fmla="*/ 95250 w 533400"/>
                <a:gd name="connsiteY69" fmla="*/ 514350 h 762000"/>
                <a:gd name="connsiteX70" fmla="*/ 95250 w 533400"/>
                <a:gd name="connsiteY70" fmla="*/ 419100 h 762000"/>
                <a:gd name="connsiteX71" fmla="*/ 152400 w 533400"/>
                <a:gd name="connsiteY71" fmla="*/ 419100 h 762000"/>
                <a:gd name="connsiteX72" fmla="*/ 152400 w 533400"/>
                <a:gd name="connsiteY72" fmla="*/ 476250 h 762000"/>
                <a:gd name="connsiteX73" fmla="*/ 95250 w 533400"/>
                <a:gd name="connsiteY73" fmla="*/ 476250 h 762000"/>
                <a:gd name="connsiteX74" fmla="*/ 95250 w 533400"/>
                <a:gd name="connsiteY74" fmla="*/ 419100 h 762000"/>
                <a:gd name="connsiteX75" fmla="*/ 95250 w 533400"/>
                <a:gd name="connsiteY75" fmla="*/ 323850 h 762000"/>
                <a:gd name="connsiteX76" fmla="*/ 152400 w 533400"/>
                <a:gd name="connsiteY76" fmla="*/ 323850 h 762000"/>
                <a:gd name="connsiteX77" fmla="*/ 152400 w 533400"/>
                <a:gd name="connsiteY77" fmla="*/ 381000 h 762000"/>
                <a:gd name="connsiteX78" fmla="*/ 95250 w 533400"/>
                <a:gd name="connsiteY78" fmla="*/ 381000 h 762000"/>
                <a:gd name="connsiteX79" fmla="*/ 95250 w 533400"/>
                <a:gd name="connsiteY79" fmla="*/ 323850 h 762000"/>
                <a:gd name="connsiteX80" fmla="*/ 495300 w 533400"/>
                <a:gd name="connsiteY80" fmla="*/ 0 h 762000"/>
                <a:gd name="connsiteX81" fmla="*/ 38100 w 533400"/>
                <a:gd name="connsiteY81" fmla="*/ 0 h 762000"/>
                <a:gd name="connsiteX82" fmla="*/ 0 w 533400"/>
                <a:gd name="connsiteY82" fmla="*/ 38100 h 762000"/>
                <a:gd name="connsiteX83" fmla="*/ 0 w 533400"/>
                <a:gd name="connsiteY83" fmla="*/ 723900 h 762000"/>
                <a:gd name="connsiteX84" fmla="*/ 38100 w 533400"/>
                <a:gd name="connsiteY84" fmla="*/ 762000 h 762000"/>
                <a:gd name="connsiteX85" fmla="*/ 495300 w 533400"/>
                <a:gd name="connsiteY85" fmla="*/ 762000 h 762000"/>
                <a:gd name="connsiteX86" fmla="*/ 533400 w 533400"/>
                <a:gd name="connsiteY86" fmla="*/ 723900 h 762000"/>
                <a:gd name="connsiteX87" fmla="*/ 533400 w 533400"/>
                <a:gd name="connsiteY87" fmla="*/ 38100 h 762000"/>
                <a:gd name="connsiteX88" fmla="*/ 495300 w 533400"/>
                <a:gd name="connsiteY88"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Lst>
              <a:rect l="l" t="t" r="r" b="b"/>
              <a:pathLst>
                <a:path w="533400" h="762000">
                  <a:moveTo>
                    <a:pt x="438150" y="247650"/>
                  </a:moveTo>
                  <a:lnTo>
                    <a:pt x="95250" y="247650"/>
                  </a:lnTo>
                  <a:lnTo>
                    <a:pt x="95250" y="95250"/>
                  </a:lnTo>
                  <a:lnTo>
                    <a:pt x="438150" y="95250"/>
                  </a:lnTo>
                  <a:lnTo>
                    <a:pt x="438150" y="247650"/>
                  </a:lnTo>
                  <a:close/>
                  <a:moveTo>
                    <a:pt x="438150" y="381000"/>
                  </a:moveTo>
                  <a:lnTo>
                    <a:pt x="381000" y="381000"/>
                  </a:lnTo>
                  <a:lnTo>
                    <a:pt x="381000" y="323850"/>
                  </a:lnTo>
                  <a:lnTo>
                    <a:pt x="438150" y="323850"/>
                  </a:lnTo>
                  <a:lnTo>
                    <a:pt x="438150" y="381000"/>
                  </a:lnTo>
                  <a:close/>
                  <a:moveTo>
                    <a:pt x="438150" y="476250"/>
                  </a:moveTo>
                  <a:lnTo>
                    <a:pt x="381000" y="476250"/>
                  </a:lnTo>
                  <a:lnTo>
                    <a:pt x="381000" y="419100"/>
                  </a:lnTo>
                  <a:lnTo>
                    <a:pt x="438150" y="419100"/>
                  </a:lnTo>
                  <a:lnTo>
                    <a:pt x="438150" y="476250"/>
                  </a:lnTo>
                  <a:close/>
                  <a:moveTo>
                    <a:pt x="438150" y="571500"/>
                  </a:moveTo>
                  <a:lnTo>
                    <a:pt x="381000" y="571500"/>
                  </a:lnTo>
                  <a:lnTo>
                    <a:pt x="381000" y="514350"/>
                  </a:lnTo>
                  <a:lnTo>
                    <a:pt x="438150" y="514350"/>
                  </a:lnTo>
                  <a:lnTo>
                    <a:pt x="438150" y="571500"/>
                  </a:lnTo>
                  <a:close/>
                  <a:moveTo>
                    <a:pt x="438150" y="666750"/>
                  </a:moveTo>
                  <a:lnTo>
                    <a:pt x="381000" y="666750"/>
                  </a:lnTo>
                  <a:lnTo>
                    <a:pt x="381000" y="609600"/>
                  </a:lnTo>
                  <a:lnTo>
                    <a:pt x="438150" y="609600"/>
                  </a:lnTo>
                  <a:lnTo>
                    <a:pt x="438150" y="666750"/>
                  </a:lnTo>
                  <a:close/>
                  <a:moveTo>
                    <a:pt x="342900" y="381000"/>
                  </a:moveTo>
                  <a:lnTo>
                    <a:pt x="285750" y="381000"/>
                  </a:lnTo>
                  <a:lnTo>
                    <a:pt x="285750" y="323850"/>
                  </a:lnTo>
                  <a:lnTo>
                    <a:pt x="342900" y="323850"/>
                  </a:lnTo>
                  <a:lnTo>
                    <a:pt x="342900" y="381000"/>
                  </a:lnTo>
                  <a:close/>
                  <a:moveTo>
                    <a:pt x="342900" y="476250"/>
                  </a:moveTo>
                  <a:lnTo>
                    <a:pt x="285750" y="476250"/>
                  </a:lnTo>
                  <a:lnTo>
                    <a:pt x="285750" y="419100"/>
                  </a:lnTo>
                  <a:lnTo>
                    <a:pt x="342900" y="419100"/>
                  </a:lnTo>
                  <a:lnTo>
                    <a:pt x="342900" y="476250"/>
                  </a:lnTo>
                  <a:close/>
                  <a:moveTo>
                    <a:pt x="342900" y="571500"/>
                  </a:moveTo>
                  <a:lnTo>
                    <a:pt x="285750" y="571500"/>
                  </a:lnTo>
                  <a:lnTo>
                    <a:pt x="285750" y="514350"/>
                  </a:lnTo>
                  <a:lnTo>
                    <a:pt x="342900" y="514350"/>
                  </a:lnTo>
                  <a:lnTo>
                    <a:pt x="342900" y="571500"/>
                  </a:lnTo>
                  <a:close/>
                  <a:moveTo>
                    <a:pt x="342900" y="666750"/>
                  </a:moveTo>
                  <a:lnTo>
                    <a:pt x="285750" y="666750"/>
                  </a:lnTo>
                  <a:lnTo>
                    <a:pt x="285750" y="609600"/>
                  </a:lnTo>
                  <a:lnTo>
                    <a:pt x="342900" y="609600"/>
                  </a:lnTo>
                  <a:lnTo>
                    <a:pt x="342900" y="666750"/>
                  </a:lnTo>
                  <a:close/>
                  <a:moveTo>
                    <a:pt x="247650" y="381000"/>
                  </a:moveTo>
                  <a:lnTo>
                    <a:pt x="190500" y="381000"/>
                  </a:lnTo>
                  <a:lnTo>
                    <a:pt x="190500" y="323850"/>
                  </a:lnTo>
                  <a:lnTo>
                    <a:pt x="247650" y="323850"/>
                  </a:lnTo>
                  <a:lnTo>
                    <a:pt x="247650" y="381000"/>
                  </a:lnTo>
                  <a:close/>
                  <a:moveTo>
                    <a:pt x="247650" y="476250"/>
                  </a:moveTo>
                  <a:lnTo>
                    <a:pt x="190500" y="476250"/>
                  </a:lnTo>
                  <a:lnTo>
                    <a:pt x="190500" y="419100"/>
                  </a:lnTo>
                  <a:lnTo>
                    <a:pt x="247650" y="419100"/>
                  </a:lnTo>
                  <a:lnTo>
                    <a:pt x="247650" y="476250"/>
                  </a:lnTo>
                  <a:close/>
                  <a:moveTo>
                    <a:pt x="247650" y="571500"/>
                  </a:moveTo>
                  <a:lnTo>
                    <a:pt x="190500" y="571500"/>
                  </a:lnTo>
                  <a:lnTo>
                    <a:pt x="190500" y="514350"/>
                  </a:lnTo>
                  <a:lnTo>
                    <a:pt x="247650" y="514350"/>
                  </a:lnTo>
                  <a:lnTo>
                    <a:pt x="247650" y="571500"/>
                  </a:lnTo>
                  <a:close/>
                  <a:moveTo>
                    <a:pt x="247650" y="666750"/>
                  </a:moveTo>
                  <a:lnTo>
                    <a:pt x="95250" y="666750"/>
                  </a:lnTo>
                  <a:lnTo>
                    <a:pt x="95250" y="609600"/>
                  </a:lnTo>
                  <a:lnTo>
                    <a:pt x="247650" y="609600"/>
                  </a:lnTo>
                  <a:lnTo>
                    <a:pt x="247650" y="666750"/>
                  </a:lnTo>
                  <a:close/>
                  <a:moveTo>
                    <a:pt x="95250" y="514350"/>
                  </a:moveTo>
                  <a:lnTo>
                    <a:pt x="152400" y="514350"/>
                  </a:lnTo>
                  <a:lnTo>
                    <a:pt x="152400" y="571500"/>
                  </a:lnTo>
                  <a:lnTo>
                    <a:pt x="95250" y="571500"/>
                  </a:lnTo>
                  <a:lnTo>
                    <a:pt x="95250" y="514350"/>
                  </a:lnTo>
                  <a:close/>
                  <a:moveTo>
                    <a:pt x="95250" y="419100"/>
                  </a:moveTo>
                  <a:lnTo>
                    <a:pt x="152400" y="419100"/>
                  </a:lnTo>
                  <a:lnTo>
                    <a:pt x="152400" y="476250"/>
                  </a:lnTo>
                  <a:lnTo>
                    <a:pt x="95250" y="476250"/>
                  </a:lnTo>
                  <a:lnTo>
                    <a:pt x="95250" y="419100"/>
                  </a:lnTo>
                  <a:close/>
                  <a:moveTo>
                    <a:pt x="95250" y="323850"/>
                  </a:moveTo>
                  <a:lnTo>
                    <a:pt x="152400" y="323850"/>
                  </a:lnTo>
                  <a:lnTo>
                    <a:pt x="152400" y="381000"/>
                  </a:lnTo>
                  <a:lnTo>
                    <a:pt x="95250" y="381000"/>
                  </a:lnTo>
                  <a:lnTo>
                    <a:pt x="95250" y="323850"/>
                  </a:lnTo>
                  <a:close/>
                  <a:moveTo>
                    <a:pt x="495300" y="0"/>
                  </a:moveTo>
                  <a:lnTo>
                    <a:pt x="38100" y="0"/>
                  </a:lnTo>
                  <a:cubicBezTo>
                    <a:pt x="17145" y="0"/>
                    <a:pt x="0" y="17145"/>
                    <a:pt x="0" y="38100"/>
                  </a:cubicBezTo>
                  <a:lnTo>
                    <a:pt x="0" y="723900"/>
                  </a:lnTo>
                  <a:cubicBezTo>
                    <a:pt x="0" y="744855"/>
                    <a:pt x="17145" y="762000"/>
                    <a:pt x="38100" y="762000"/>
                  </a:cubicBezTo>
                  <a:lnTo>
                    <a:pt x="495300" y="762000"/>
                  </a:lnTo>
                  <a:cubicBezTo>
                    <a:pt x="516255" y="762000"/>
                    <a:pt x="533400" y="744855"/>
                    <a:pt x="533400" y="723900"/>
                  </a:cubicBezTo>
                  <a:lnTo>
                    <a:pt x="533400" y="38100"/>
                  </a:lnTo>
                  <a:cubicBezTo>
                    <a:pt x="533400" y="17145"/>
                    <a:pt x="516255" y="0"/>
                    <a:pt x="495300" y="0"/>
                  </a:cubicBezTo>
                  <a:close/>
                </a:path>
              </a:pathLst>
            </a:custGeom>
            <a:solidFill>
              <a:srgbClr val="000000"/>
            </a:solidFill>
            <a:ln w="9525"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graphicFrame macro="">
        <xdr:nvGraphicFramePr>
          <xdr:cNvPr id="23" name="Chart 22">
            <a:extLst>
              <a:ext uri="{FF2B5EF4-FFF2-40B4-BE49-F238E27FC236}">
                <a16:creationId xmlns:a16="http://schemas.microsoft.com/office/drawing/2014/main" id="{00000000-0008-0000-0000-000017000000}"/>
              </a:ext>
            </a:extLst>
          </xdr:cNvPr>
          <xdr:cNvGraphicFramePr>
            <a:graphicFrameLocks/>
          </xdr:cNvGraphicFramePr>
        </xdr:nvGraphicFramePr>
        <xdr:xfrm>
          <a:off x="508000" y="1612900"/>
          <a:ext cx="5768975" cy="306546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13755427" y="1538256"/>
          <a:ext cx="5326285" cy="3155399"/>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6" name="Payment Source 1">
                <a:extLst>
                  <a:ext uri="{FF2B5EF4-FFF2-40B4-BE49-F238E27FC236}">
                    <a16:creationId xmlns:a16="http://schemas.microsoft.com/office/drawing/2014/main" id="{00000000-0008-0000-0000-000006000000}"/>
                  </a:ext>
                </a:extLst>
              </xdr:cNvPr>
              <xdr:cNvGraphicFramePr/>
            </xdr:nvGraphicFramePr>
            <xdr:xfrm>
              <a:off x="20011570" y="1134251"/>
              <a:ext cx="3185531" cy="4276693"/>
            </xdr:xfrm>
            <a:graphic>
              <a:graphicData uri="http://schemas.microsoft.com/office/drawing/2010/slicer">
                <sle:slicer xmlns:sle="http://schemas.microsoft.com/office/drawing/2010/slicer" name="Payment Source 1"/>
              </a:graphicData>
            </a:graphic>
          </xdr:graphicFrame>
        </mc:Choice>
        <mc:Fallback xmlns="">
          <xdr:sp macro="" textlink="">
            <xdr:nvSpPr>
              <xdr:cNvPr id="0" name=""/>
              <xdr:cNvSpPr>
                <a:spLocks noTextEdit="1"/>
              </xdr:cNvSpPr>
            </xdr:nvSpPr>
            <xdr:spPr>
              <a:xfrm>
                <a:off x="14359411" y="1277703"/>
                <a:ext cx="2285795" cy="4422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440531</xdr:colOff>
      <xdr:row>9</xdr:row>
      <xdr:rowOff>35719</xdr:rowOff>
    </xdr:from>
    <xdr:to>
      <xdr:col>15</xdr:col>
      <xdr:colOff>440531</xdr:colOff>
      <xdr:row>25</xdr:row>
      <xdr:rowOff>59531</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190500</xdr:colOff>
      <xdr:row>29</xdr:row>
      <xdr:rowOff>166687</xdr:rowOff>
    </xdr:from>
    <xdr:to>
      <xdr:col>16</xdr:col>
      <xdr:colOff>119062</xdr:colOff>
      <xdr:row>33</xdr:row>
      <xdr:rowOff>107156</xdr:rowOff>
    </xdr:to>
    <mc:AlternateContent xmlns:mc="http://schemas.openxmlformats.org/markup-compatibility/2006" xmlns:a14="http://schemas.microsoft.com/office/drawing/2010/main">
      <mc:Choice Requires="a14">
        <xdr:graphicFrame macro="">
          <xdr:nvGraphicFramePr>
            <xdr:cNvPr id="17" name="Months (Date)">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773906" y="5691187"/>
              <a:ext cx="8679656" cy="7024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285750</xdr:colOff>
          <xdr:row>3</xdr:row>
          <xdr:rowOff>123825</xdr:rowOff>
        </xdr:from>
        <xdr:to>
          <xdr:col>11</xdr:col>
          <xdr:colOff>209550</xdr:colOff>
          <xdr:row>5</xdr:row>
          <xdr:rowOff>180975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US" sz="1400" b="1" i="0" u="none" strike="noStrike" baseline="0">
                  <a:solidFill>
                    <a:srgbClr val="000000"/>
                  </a:solidFill>
                  <a:latin typeface="Snap ITC"/>
                </a:rPr>
                <a:t>Click to add expenses</a:t>
              </a:r>
            </a:p>
          </xdr:txBody>
        </xdr:sp>
        <xdr:clientData fPrintsWithSheet="0"/>
      </xdr:twoCellAnchor>
    </mc:Choice>
    <mc:Fallback/>
  </mc:AlternateContent>
  <xdr:twoCellAnchor>
    <xdr:from>
      <xdr:col>6</xdr:col>
      <xdr:colOff>56266</xdr:colOff>
      <xdr:row>1</xdr:row>
      <xdr:rowOff>88418</xdr:rowOff>
    </xdr:from>
    <xdr:to>
      <xdr:col>6</xdr:col>
      <xdr:colOff>538545</xdr:colOff>
      <xdr:row>2</xdr:row>
      <xdr:rowOff>8038</xdr:rowOff>
    </xdr:to>
    <xdr:sp macro="" textlink="">
      <xdr:nvSpPr>
        <xdr:cNvPr id="2" name="Arrow: Right 1">
          <a:extLst>
            <a:ext uri="{FF2B5EF4-FFF2-40B4-BE49-F238E27FC236}">
              <a16:creationId xmlns:a16="http://schemas.microsoft.com/office/drawing/2014/main" id="{00000000-0008-0000-0100-000002000000}"/>
            </a:ext>
          </a:extLst>
        </xdr:cNvPr>
        <xdr:cNvSpPr/>
      </xdr:nvSpPr>
      <xdr:spPr>
        <a:xfrm>
          <a:off x="6631329" y="281329"/>
          <a:ext cx="482279" cy="26525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847725</xdr:colOff>
          <xdr:row>3</xdr:row>
          <xdr:rowOff>95250</xdr:rowOff>
        </xdr:from>
        <xdr:to>
          <xdr:col>8</xdr:col>
          <xdr:colOff>742950</xdr:colOff>
          <xdr:row>5</xdr:row>
          <xdr:rowOff>161925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en-US" sz="1400" b="1" i="0" u="none" strike="noStrike" baseline="0">
                  <a:solidFill>
                    <a:srgbClr val="000000"/>
                  </a:solidFill>
                  <a:latin typeface="Snap ITC"/>
                </a:rPr>
                <a:t>Click to add Income</a:t>
              </a:r>
            </a:p>
          </xdr:txBody>
        </xdr:sp>
        <xdr:clientData fPrintsWithSheet="0"/>
      </xdr:twoCellAnchor>
    </mc:Choice>
    <mc:Fallback/>
  </mc:AlternateContent>
  <xdr:twoCellAnchor>
    <xdr:from>
      <xdr:col>5</xdr:col>
      <xdr:colOff>56266</xdr:colOff>
      <xdr:row>1</xdr:row>
      <xdr:rowOff>88418</xdr:rowOff>
    </xdr:from>
    <xdr:to>
      <xdr:col>5</xdr:col>
      <xdr:colOff>538545</xdr:colOff>
      <xdr:row>2</xdr:row>
      <xdr:rowOff>8038</xdr:rowOff>
    </xdr:to>
    <xdr:sp macro="" textlink="">
      <xdr:nvSpPr>
        <xdr:cNvPr id="2" name="Arrow: Right 1">
          <a:extLst>
            <a:ext uri="{FF2B5EF4-FFF2-40B4-BE49-F238E27FC236}">
              <a16:creationId xmlns:a16="http://schemas.microsoft.com/office/drawing/2014/main" id="{00000000-0008-0000-0200-000002000000}"/>
            </a:ext>
          </a:extLst>
        </xdr:cNvPr>
        <xdr:cNvSpPr/>
      </xdr:nvSpPr>
      <xdr:spPr>
        <a:xfrm>
          <a:off x="5777616" y="278918"/>
          <a:ext cx="482279" cy="26887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92029</xdr:colOff>
      <xdr:row>35</xdr:row>
      <xdr:rowOff>156450</xdr:rowOff>
    </xdr:from>
    <xdr:to>
      <xdr:col>5</xdr:col>
      <xdr:colOff>119638</xdr:colOff>
      <xdr:row>57</xdr:row>
      <xdr:rowOff>46015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599109</xdr:colOff>
      <xdr:row>36</xdr:row>
      <xdr:rowOff>31842</xdr:rowOff>
    </xdr:from>
    <xdr:to>
      <xdr:col>11</xdr:col>
      <xdr:colOff>312899</xdr:colOff>
      <xdr:row>57</xdr:row>
      <xdr:rowOff>55218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10122</xdr:colOff>
      <xdr:row>36</xdr:row>
      <xdr:rowOff>50248</xdr:rowOff>
    </xdr:from>
    <xdr:to>
      <xdr:col>18</xdr:col>
      <xdr:colOff>220868</xdr:colOff>
      <xdr:row>57</xdr:row>
      <xdr:rowOff>119638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403225</xdr:colOff>
      <xdr:row>0</xdr:row>
      <xdr:rowOff>106680</xdr:rowOff>
    </xdr:from>
    <xdr:to>
      <xdr:col>11</xdr:col>
      <xdr:colOff>69215</xdr:colOff>
      <xdr:row>15</xdr:row>
      <xdr:rowOff>87630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123825</xdr:colOff>
      <xdr:row>1</xdr:row>
      <xdr:rowOff>133350</xdr:rowOff>
    </xdr:from>
    <xdr:to>
      <xdr:col>11</xdr:col>
      <xdr:colOff>428625</xdr:colOff>
      <xdr:row>16</xdr:row>
      <xdr:rowOff>114300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542925</xdr:colOff>
      <xdr:row>1</xdr:row>
      <xdr:rowOff>133350</xdr:rowOff>
    </xdr:from>
    <xdr:to>
      <xdr:col>12</xdr:col>
      <xdr:colOff>238125</xdr:colOff>
      <xdr:row>16</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438150</xdr:colOff>
      <xdr:row>1</xdr:row>
      <xdr:rowOff>149860</xdr:rowOff>
    </xdr:from>
    <xdr:to>
      <xdr:col>15</xdr:col>
      <xdr:colOff>438150</xdr:colOff>
      <xdr:row>16</xdr:row>
      <xdr:rowOff>167640</xdr:rowOff>
    </xdr:to>
    <mc:AlternateContent xmlns:mc="http://schemas.openxmlformats.org/markup-compatibility/2006" xmlns:a14="http://schemas.microsoft.com/office/drawing/2010/main">
      <mc:Choice Requires="a14">
        <xdr:graphicFrame macro="">
          <xdr:nvGraphicFramePr>
            <xdr:cNvPr id="3" name="Payment Sourc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Payment Source"/>
            </a:graphicData>
          </a:graphic>
        </xdr:graphicFrame>
      </mc:Choice>
      <mc:Fallback xmlns="">
        <xdr:sp macro="" textlink="">
          <xdr:nvSpPr>
            <xdr:cNvPr id="0" name=""/>
            <xdr:cNvSpPr>
              <a:spLocks noTextEdit="1"/>
            </xdr:cNvSpPr>
          </xdr:nvSpPr>
          <xdr:spPr>
            <a:xfrm>
              <a:off x="8324850" y="332740"/>
              <a:ext cx="1828800" cy="2760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meron Russo" refreshedDate="45720.873445717596" createdVersion="8" refreshedVersion="8" minRefreshableVersion="3" recordCount="93" xr:uid="{33EDA984-AD94-4EF3-9A7A-17BB909CD545}">
  <cacheSource type="worksheet">
    <worksheetSource ref="B3:F96" sheet="All Expenses"/>
  </cacheSource>
  <cacheFields count="7">
    <cacheField name="Date" numFmtId="14">
      <sharedItems containsSemiMixedTypes="0" containsNonDate="0" containsDate="1" containsString="0" minDate="2025-01-07T00:00:00" maxDate="2025-07-31T00:00:00" count="79">
        <d v="2025-07-18T00:00:00"/>
        <d v="2025-01-11T00:00:00"/>
        <d v="2025-02-28T00:00:00"/>
        <d v="2025-03-22T00:00:00"/>
        <d v="2025-04-04T00:00:00"/>
        <d v="2025-05-17T00:00:00"/>
        <d v="2025-06-27T00:00:00"/>
        <d v="2025-07-25T00:00:00"/>
        <d v="2025-01-27T00:00:00"/>
        <d v="2025-03-03T00:00:00"/>
        <d v="2025-03-10T00:00:00"/>
        <d v="2025-03-16T00:00:00"/>
        <d v="2025-04-06T00:00:00"/>
        <d v="2025-05-18T00:00:00"/>
        <d v="2025-06-11T00:00:00"/>
        <d v="2025-07-07T00:00:00"/>
        <d v="2025-01-26T00:00:00"/>
        <d v="2025-02-23T00:00:00"/>
        <d v="2025-03-25T00:00:00"/>
        <d v="2025-04-11T00:00:00"/>
        <d v="2025-05-08T00:00:00"/>
        <d v="2025-06-12T00:00:00"/>
        <d v="2025-07-17T00:00:00"/>
        <d v="2025-01-24T00:00:00"/>
        <d v="2025-02-03T00:00:00"/>
        <d v="2025-04-23T00:00:00"/>
        <d v="2025-05-25T00:00:00"/>
        <d v="2025-06-23T00:00:00"/>
        <d v="2025-07-28T00:00:00"/>
        <d v="2025-01-19T00:00:00"/>
        <d v="2025-02-26T00:00:00"/>
        <d v="2025-03-26T00:00:00"/>
        <d v="2025-04-10T00:00:00"/>
        <d v="2025-05-10T00:00:00"/>
        <d v="2025-05-15T00:00:00"/>
        <d v="2025-06-03T00:00:00"/>
        <d v="2025-01-17T00:00:00"/>
        <d v="2025-02-27T00:00:00"/>
        <d v="2025-03-15T00:00:00"/>
        <d v="2025-04-27T00:00:00"/>
        <d v="2025-06-06T00:00:00"/>
        <d v="2025-07-29T00:00:00"/>
        <d v="2025-01-30T00:00:00"/>
        <d v="2025-06-08T00:00:00"/>
        <d v="2025-07-30T00:00:00"/>
        <d v="2025-01-23T00:00:00"/>
        <d v="2025-02-12T00:00:00"/>
        <d v="2025-03-14T00:00:00"/>
        <d v="2025-04-14T00:00:00"/>
        <d v="2025-05-03T00:00:00"/>
        <d v="2025-06-30T00:00:00"/>
        <d v="2025-07-05T00:00:00"/>
        <d v="2025-01-28T00:00:00"/>
        <d v="2025-02-20T00:00:00"/>
        <d v="2025-03-31T00:00:00"/>
        <d v="2025-05-01T00:00:00"/>
        <d v="2025-05-06T00:00:00"/>
        <d v="2025-06-22T00:00:00"/>
        <d v="2025-07-04T00:00:00"/>
        <d v="2025-01-07T00:00:00"/>
        <d v="2025-03-29T00:00:00"/>
        <d v="2025-04-15T00:00:00"/>
        <d v="2025-02-22T00:00:00"/>
        <d v="2025-03-21T00:00:00"/>
        <d v="2025-04-21T00:00:00"/>
        <d v="2025-07-11T00:00:00"/>
        <d v="2025-02-17T00:00:00"/>
        <d v="2025-03-27T00:00:00"/>
        <d v="2025-04-18T00:00:00"/>
        <d v="2025-05-28T00:00:00"/>
        <d v="2025-04-16T00:00:00"/>
        <d v="2025-05-19T00:00:00"/>
        <d v="2025-06-25T00:00:00"/>
        <d v="2025-01-18T00:00:00"/>
        <d v="2025-02-15T00:00:00"/>
        <d v="2025-06-10T00:00:00"/>
        <d v="2025-07-08T00:00:00"/>
        <d v="2025-02-02T00:00:00"/>
        <d v="2025-02-18T00:00:00"/>
      </sharedItems>
      <fieldGroup par="6"/>
    </cacheField>
    <cacheField name="Expense Category" numFmtId="0">
      <sharedItems count="8">
        <s v="Debts"/>
        <s v="Food"/>
        <s v="Housing"/>
        <s v="Insurance"/>
        <s v="Leisure"/>
        <s v="Personal"/>
        <s v="Transportation"/>
        <s v="Utilities"/>
      </sharedItems>
    </cacheField>
    <cacheField name="Expense Type" numFmtId="0">
      <sharedItems/>
    </cacheField>
    <cacheField name="Actual Amount" numFmtId="44">
      <sharedItems containsSemiMixedTypes="0" containsString="0" containsNumber="1" containsInteger="1" minValue="13" maxValue="9849"/>
    </cacheField>
    <cacheField name="Expected Amount" numFmtId="44">
      <sharedItems containsSemiMixedTypes="0" containsString="0" containsNumber="1" containsInteger="1" minValue="46" maxValue="9910"/>
    </cacheField>
    <cacheField name="Days (Date)" numFmtId="0" databaseField="0">
      <fieldGroup base="0">
        <rangePr groupBy="days" startDate="2025-01-07T00:00:00" endDate="2025-07-31T00:00:00"/>
        <groupItems count="368">
          <s v="&lt;1/7/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31/2025"/>
        </groupItems>
      </fieldGroup>
    </cacheField>
    <cacheField name="Months (Date)" numFmtId="0" databaseField="0">
      <fieldGroup base="0">
        <rangePr groupBy="months" startDate="2025-01-07T00:00:00" endDate="2025-07-31T00:00:00"/>
        <groupItems count="14">
          <s v="&lt;1/7/2025"/>
          <s v="Jan"/>
          <s v="Feb"/>
          <s v="Mar"/>
          <s v="Apr"/>
          <s v="May"/>
          <s v="Jun"/>
          <s v="Jul"/>
          <s v="Aug"/>
          <s v="Sep"/>
          <s v="Oct"/>
          <s v="Nov"/>
          <s v="Dec"/>
          <s v="&gt;7/31/2025"/>
        </groupItems>
      </fieldGroup>
    </cacheField>
  </cacheFields>
  <extLst>
    <ext xmlns:x14="http://schemas.microsoft.com/office/spreadsheetml/2009/9/main" uri="{725AE2AE-9491-48be-B2B4-4EB974FC3084}">
      <x14:pivotCacheDefinition pivotCacheId="2196629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meron Russo" refreshedDate="45720.87701921296" createdVersion="8" refreshedVersion="8" minRefreshableVersion="3" recordCount="6" xr:uid="{CE430329-76B9-49C8-B7E8-A249B0141112}">
  <cacheSource type="worksheet">
    <worksheetSource ref="B3:E9" sheet="Income"/>
  </cacheSource>
  <cacheFields count="4">
    <cacheField name="Date" numFmtId="14">
      <sharedItems containsSemiMixedTypes="0" containsNonDate="0" containsDate="1" containsString="0" minDate="2025-01-01T00:00:00" maxDate="2025-06-02T00:00:00" count="6">
        <d v="2025-01-01T00:00:00"/>
        <d v="2025-02-01T00:00:00"/>
        <d v="2025-03-01T00:00:00"/>
        <d v="2025-04-01T00:00:00"/>
        <d v="2025-05-01T00:00:00"/>
        <d v="2025-06-01T00:00:00"/>
      </sharedItems>
    </cacheField>
    <cacheField name="Payment Source" numFmtId="0">
      <sharedItems count="1">
        <s v="Salary"/>
      </sharedItems>
    </cacheField>
    <cacheField name="Payment Mode" numFmtId="0">
      <sharedItems/>
    </cacheField>
    <cacheField name="Amount" numFmtId="7">
      <sharedItems containsSemiMixedTypes="0" containsString="0" containsNumber="1" containsInteger="1" minValue="100000" maxValue="130000"/>
    </cacheField>
  </cacheFields>
  <extLst>
    <ext xmlns:x14="http://schemas.microsoft.com/office/spreadsheetml/2009/9/main" uri="{725AE2AE-9491-48be-B2B4-4EB974FC3084}">
      <x14:pivotCacheDefinition pivotCacheId="16594636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x v="0"/>
    <s v="Student Loans"/>
    <n v="6326"/>
    <n v="8237"/>
  </r>
  <r>
    <x v="1"/>
    <x v="0"/>
    <s v="Personal Loans"/>
    <n v="9849"/>
    <n v="3787"/>
  </r>
  <r>
    <x v="2"/>
    <x v="0"/>
    <s v="Credit Card Expenses"/>
    <n v="4815"/>
    <n v="9637"/>
  </r>
  <r>
    <x v="3"/>
    <x v="0"/>
    <s v="Student Loans"/>
    <n v="5008"/>
    <n v="7311"/>
  </r>
  <r>
    <x v="4"/>
    <x v="0"/>
    <s v="Personal Loans"/>
    <n v="7654"/>
    <n v="5456"/>
  </r>
  <r>
    <x v="5"/>
    <x v="0"/>
    <s v="Credit Card Expenses"/>
    <n v="2645"/>
    <n v="6675"/>
  </r>
  <r>
    <x v="6"/>
    <x v="0"/>
    <s v="Student Loans"/>
    <n v="3227"/>
    <n v="56"/>
  </r>
  <r>
    <x v="7"/>
    <x v="0"/>
    <s v="Personal Loans"/>
    <n v="500"/>
    <n v="7393"/>
  </r>
  <r>
    <x v="8"/>
    <x v="0"/>
    <s v="Credit Card Expenses"/>
    <n v="9747"/>
    <n v="7240"/>
  </r>
  <r>
    <x v="9"/>
    <x v="0"/>
    <s v="Student Loans"/>
    <n v="4628"/>
    <n v="5815"/>
  </r>
  <r>
    <x v="10"/>
    <x v="0"/>
    <s v="Personal Loans"/>
    <n v="6373"/>
    <n v="7751"/>
  </r>
  <r>
    <x v="11"/>
    <x v="1"/>
    <s v="Meals"/>
    <n v="9076"/>
    <n v="1282"/>
  </r>
  <r>
    <x v="12"/>
    <x v="1"/>
    <s v="Groceries"/>
    <n v="3601"/>
    <n v="7176"/>
  </r>
  <r>
    <x v="13"/>
    <x v="1"/>
    <s v="Meals"/>
    <n v="4994"/>
    <n v="8803"/>
  </r>
  <r>
    <x v="14"/>
    <x v="1"/>
    <s v="Groceries"/>
    <n v="3901"/>
    <n v="7802"/>
  </r>
  <r>
    <x v="15"/>
    <x v="1"/>
    <s v="Meals"/>
    <n v="3202"/>
    <n v="1043"/>
  </r>
  <r>
    <x v="16"/>
    <x v="1"/>
    <s v="Groceries"/>
    <n v="4285"/>
    <n v="9910"/>
  </r>
  <r>
    <x v="17"/>
    <x v="1"/>
    <s v="Meals"/>
    <n v="6128"/>
    <n v="3487"/>
  </r>
  <r>
    <x v="18"/>
    <x v="1"/>
    <s v="Groceries"/>
    <n v="3209"/>
    <n v="8129"/>
  </r>
  <r>
    <x v="19"/>
    <x v="1"/>
    <s v="Meals"/>
    <n v="8209"/>
    <n v="5633"/>
  </r>
  <r>
    <x v="20"/>
    <x v="1"/>
    <s v="Groceries"/>
    <n v="9513"/>
    <n v="6899"/>
  </r>
  <r>
    <x v="21"/>
    <x v="1"/>
    <s v="Meals"/>
    <n v="4699"/>
    <n v="5713"/>
  </r>
  <r>
    <x v="22"/>
    <x v="1"/>
    <s v="Groceries"/>
    <n v="6165"/>
    <n v="7513"/>
  </r>
  <r>
    <x v="23"/>
    <x v="2"/>
    <s v="Rent"/>
    <n v="7708"/>
    <n v="6645"/>
  </r>
  <r>
    <x v="24"/>
    <x v="2"/>
    <s v="Mortgage Payments"/>
    <n v="4821"/>
    <n v="5344"/>
  </r>
  <r>
    <x v="10"/>
    <x v="2"/>
    <s v="Rent"/>
    <n v="630"/>
    <n v="2392"/>
  </r>
  <r>
    <x v="25"/>
    <x v="2"/>
    <s v="Mortgage Payments"/>
    <n v="2217"/>
    <n v="9374"/>
  </r>
  <r>
    <x v="26"/>
    <x v="2"/>
    <s v="Rent"/>
    <n v="9246"/>
    <n v="3756"/>
  </r>
  <r>
    <x v="27"/>
    <x v="2"/>
    <s v="Mortgage Payments"/>
    <n v="746"/>
    <n v="4999"/>
  </r>
  <r>
    <x v="28"/>
    <x v="2"/>
    <s v="Rent"/>
    <n v="2156"/>
    <n v="9718"/>
  </r>
  <r>
    <x v="29"/>
    <x v="2"/>
    <s v="Mortgage Payments"/>
    <n v="7851"/>
    <n v="8218"/>
  </r>
  <r>
    <x v="30"/>
    <x v="2"/>
    <s v="Rent"/>
    <n v="1773"/>
    <n v="7291"/>
  </r>
  <r>
    <x v="31"/>
    <x v="2"/>
    <s v="Mortgage Payments"/>
    <n v="1959"/>
    <n v="7770"/>
  </r>
  <r>
    <x v="32"/>
    <x v="2"/>
    <s v="Rent"/>
    <n v="3891"/>
    <n v="4564"/>
  </r>
  <r>
    <x v="33"/>
    <x v="2"/>
    <s v="Mortgage Payments"/>
    <n v="9768"/>
    <n v="8271"/>
  </r>
  <r>
    <x v="34"/>
    <x v="3"/>
    <s v="House and Contents"/>
    <n v="2728"/>
    <n v="9629"/>
  </r>
  <r>
    <x v="35"/>
    <x v="3"/>
    <s v="Vehicle"/>
    <n v="7544"/>
    <n v="5984"/>
  </r>
  <r>
    <x v="15"/>
    <x v="3"/>
    <s v="Personal Liability "/>
    <n v="8737"/>
    <n v="1004"/>
  </r>
  <r>
    <x v="36"/>
    <x v="3"/>
    <s v="House and Contents"/>
    <n v="639"/>
    <n v="1768"/>
  </r>
  <r>
    <x v="37"/>
    <x v="3"/>
    <s v="Vehicle"/>
    <n v="1476"/>
    <n v="188"/>
  </r>
  <r>
    <x v="38"/>
    <x v="3"/>
    <s v="Personal Liability "/>
    <n v="7808"/>
    <n v="9383"/>
  </r>
  <r>
    <x v="39"/>
    <x v="3"/>
    <s v="House and Contents"/>
    <n v="9809"/>
    <n v="2343"/>
  </r>
  <r>
    <x v="33"/>
    <x v="3"/>
    <s v="Vehicle"/>
    <n v="4098"/>
    <n v="46"/>
  </r>
  <r>
    <x v="40"/>
    <x v="3"/>
    <s v="Personal Liability "/>
    <n v="5839"/>
    <n v="7702"/>
  </r>
  <r>
    <x v="41"/>
    <x v="3"/>
    <s v="Vehicle"/>
    <n v="6555"/>
    <n v="4760"/>
  </r>
  <r>
    <x v="42"/>
    <x v="3"/>
    <s v="Personal Liability "/>
    <n v="1275"/>
    <n v="6572"/>
  </r>
  <r>
    <x v="43"/>
    <x v="4"/>
    <s v="Subscriptions"/>
    <n v="1101"/>
    <n v="2841"/>
  </r>
  <r>
    <x v="44"/>
    <x v="4"/>
    <s v="Gym Memberships"/>
    <n v="9185"/>
    <n v="9010"/>
  </r>
  <r>
    <x v="45"/>
    <x v="4"/>
    <s v="Movies"/>
    <n v="5607"/>
    <n v="9804"/>
  </r>
  <r>
    <x v="46"/>
    <x v="4"/>
    <s v="Concerts"/>
    <n v="3575"/>
    <n v="4556"/>
  </r>
  <r>
    <x v="47"/>
    <x v="4"/>
    <s v="Outings"/>
    <n v="2012"/>
    <n v="1241"/>
  </r>
  <r>
    <x v="48"/>
    <x v="4"/>
    <s v="Dinners"/>
    <n v="2795"/>
    <n v="4932"/>
  </r>
  <r>
    <x v="49"/>
    <x v="4"/>
    <s v="Social Event"/>
    <n v="6522"/>
    <n v="1468"/>
  </r>
  <r>
    <x v="50"/>
    <x v="4"/>
    <s v="Concerts"/>
    <n v="5075"/>
    <n v="5788"/>
  </r>
  <r>
    <x v="51"/>
    <x v="4"/>
    <s v="Outings"/>
    <n v="3787"/>
    <n v="8857"/>
  </r>
  <r>
    <x v="8"/>
    <x v="4"/>
    <s v="Dinners"/>
    <n v="2838"/>
    <n v="2825"/>
  </r>
  <r>
    <x v="30"/>
    <x v="4"/>
    <s v="Social Event"/>
    <n v="933"/>
    <n v="9419"/>
  </r>
  <r>
    <x v="52"/>
    <x v="5"/>
    <s v="Clothing "/>
    <n v="9773"/>
    <n v="3823"/>
  </r>
  <r>
    <x v="53"/>
    <x v="5"/>
    <s v="Well Being"/>
    <n v="1142"/>
    <n v="1332"/>
  </r>
  <r>
    <x v="54"/>
    <x v="5"/>
    <s v="Personal Hygiene"/>
    <n v="2342"/>
    <n v="2648"/>
  </r>
  <r>
    <x v="55"/>
    <x v="5"/>
    <s v="Misc."/>
    <n v="3375"/>
    <n v="7082"/>
  </r>
  <r>
    <x v="56"/>
    <x v="5"/>
    <s v="Clothing "/>
    <n v="8011"/>
    <n v="6568"/>
  </r>
  <r>
    <x v="57"/>
    <x v="5"/>
    <s v="Well Being"/>
    <n v="9169"/>
    <n v="8344"/>
  </r>
  <r>
    <x v="58"/>
    <x v="5"/>
    <s v="Personal Hygiene"/>
    <n v="667"/>
    <n v="4765"/>
  </r>
  <r>
    <x v="59"/>
    <x v="5"/>
    <s v="Misc."/>
    <n v="5868"/>
    <n v="8284"/>
  </r>
  <r>
    <x v="37"/>
    <x v="5"/>
    <s v="Well Being"/>
    <n v="8623"/>
    <n v="5233"/>
  </r>
  <r>
    <x v="60"/>
    <x v="5"/>
    <s v="Personal Hygiene"/>
    <n v="7499"/>
    <n v="5418"/>
  </r>
  <r>
    <x v="61"/>
    <x v="5"/>
    <s v="Misc."/>
    <n v="6027"/>
    <n v="7189"/>
  </r>
  <r>
    <x v="62"/>
    <x v="6"/>
    <s v="Public Transport"/>
    <n v="4716"/>
    <n v="8463"/>
  </r>
  <r>
    <x v="63"/>
    <x v="6"/>
    <s v="Vehicle Registration"/>
    <n v="2859"/>
    <n v="947"/>
  </r>
  <r>
    <x v="64"/>
    <x v="6"/>
    <s v="Fuel"/>
    <n v="3667"/>
    <n v="2994"/>
  </r>
  <r>
    <x v="56"/>
    <x v="6"/>
    <s v="Running Cost"/>
    <n v="1898"/>
    <n v="7429"/>
  </r>
  <r>
    <x v="35"/>
    <x v="6"/>
    <s v="Public Transport"/>
    <n v="2442"/>
    <n v="9742"/>
  </r>
  <r>
    <x v="65"/>
    <x v="6"/>
    <s v="Vehicle Registration"/>
    <n v="5444"/>
    <n v="1238"/>
  </r>
  <r>
    <x v="52"/>
    <x v="6"/>
    <s v="Fuel"/>
    <n v="1527"/>
    <n v="5109"/>
  </r>
  <r>
    <x v="66"/>
    <x v="6"/>
    <s v="Running Cost"/>
    <n v="8857"/>
    <n v="7511"/>
  </r>
  <r>
    <x v="67"/>
    <x v="6"/>
    <s v="Public Transport"/>
    <n v="9652"/>
    <n v="6387"/>
  </r>
  <r>
    <x v="68"/>
    <x v="6"/>
    <s v="Vehicle Registration"/>
    <n v="9690"/>
    <n v="1196"/>
  </r>
  <r>
    <x v="69"/>
    <x v="6"/>
    <s v="Fuel"/>
    <n v="4977"/>
    <n v="7829"/>
  </r>
  <r>
    <x v="6"/>
    <x v="6"/>
    <s v="Running Cost"/>
    <n v="4680"/>
    <n v="55"/>
  </r>
  <r>
    <x v="70"/>
    <x v="7"/>
    <s v="Electric"/>
    <n v="6640"/>
    <n v="1730"/>
  </r>
  <r>
    <x v="71"/>
    <x v="7"/>
    <s v="Gas"/>
    <n v="4085"/>
    <n v="9514"/>
  </r>
  <r>
    <x v="72"/>
    <x v="7"/>
    <s v="Water "/>
    <n v="644"/>
    <n v="8878"/>
  </r>
  <r>
    <x v="15"/>
    <x v="7"/>
    <s v="Heatng Bills"/>
    <n v="7855"/>
    <n v="6882"/>
  </r>
  <r>
    <x v="73"/>
    <x v="7"/>
    <s v="Electric"/>
    <n v="9519"/>
    <n v="7958"/>
  </r>
  <r>
    <x v="74"/>
    <x v="7"/>
    <s v="Gas"/>
    <n v="3379"/>
    <n v="4247"/>
  </r>
  <r>
    <x v="63"/>
    <x v="7"/>
    <s v="Water "/>
    <n v="5801"/>
    <n v="5323"/>
  </r>
  <r>
    <x v="32"/>
    <x v="7"/>
    <s v="Heatng Bills"/>
    <n v="3865"/>
    <n v="4732"/>
  </r>
  <r>
    <x v="13"/>
    <x v="7"/>
    <s v="Gas"/>
    <n v="13"/>
    <n v="9293"/>
  </r>
  <r>
    <x v="75"/>
    <x v="7"/>
    <s v="Water "/>
    <n v="3222"/>
    <n v="2895"/>
  </r>
  <r>
    <x v="76"/>
    <x v="7"/>
    <s v="Heatng Bills"/>
    <n v="3502"/>
    <n v="4185"/>
  </r>
  <r>
    <x v="77"/>
    <x v="1"/>
    <s v="Meals"/>
    <n v="100"/>
    <n v="90"/>
  </r>
  <r>
    <x v="78"/>
    <x v="6"/>
    <s v="Fuel"/>
    <n v="100"/>
    <n v="7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s v="Cheque"/>
    <n v="110000"/>
  </r>
  <r>
    <x v="1"/>
    <x v="0"/>
    <s v="Cheque"/>
    <n v="120000"/>
  </r>
  <r>
    <x v="2"/>
    <x v="0"/>
    <s v="Cheque"/>
    <n v="130000"/>
  </r>
  <r>
    <x v="3"/>
    <x v="0"/>
    <s v="Cheque"/>
    <n v="100000"/>
  </r>
  <r>
    <x v="4"/>
    <x v="0"/>
    <s v="Cheque"/>
    <n v="130000"/>
  </r>
  <r>
    <x v="5"/>
    <x v="0"/>
    <s v="Cheque"/>
    <n v="1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2C4862-D8F5-48AF-84FB-CAB625F8818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C11" firstHeaderRow="0" firstDataRow="1" firstDataCol="1"/>
  <pivotFields count="7">
    <pivotField axis="axisRow" numFmtId="14" showAll="0">
      <items count="80">
        <item x="59"/>
        <item x="1"/>
        <item x="36"/>
        <item x="73"/>
        <item x="29"/>
        <item x="45"/>
        <item x="23"/>
        <item x="16"/>
        <item x="8"/>
        <item x="52"/>
        <item x="42"/>
        <item x="77"/>
        <item x="24"/>
        <item x="46"/>
        <item x="74"/>
        <item x="66"/>
        <item x="78"/>
        <item x="53"/>
        <item x="62"/>
        <item x="17"/>
        <item x="30"/>
        <item x="37"/>
        <item x="2"/>
        <item x="9"/>
        <item x="10"/>
        <item x="47"/>
        <item x="38"/>
        <item x="11"/>
        <item x="63"/>
        <item x="3"/>
        <item x="18"/>
        <item x="31"/>
        <item x="67"/>
        <item x="60"/>
        <item x="54"/>
        <item x="4"/>
        <item x="12"/>
        <item x="32"/>
        <item x="19"/>
        <item x="48"/>
        <item x="61"/>
        <item x="70"/>
        <item x="68"/>
        <item x="64"/>
        <item x="25"/>
        <item x="39"/>
        <item x="55"/>
        <item x="49"/>
        <item x="56"/>
        <item x="20"/>
        <item x="33"/>
        <item x="34"/>
        <item x="5"/>
        <item x="13"/>
        <item x="71"/>
        <item x="26"/>
        <item x="69"/>
        <item x="35"/>
        <item x="40"/>
        <item x="43"/>
        <item x="75"/>
        <item x="14"/>
        <item x="21"/>
        <item x="57"/>
        <item x="27"/>
        <item x="72"/>
        <item x="6"/>
        <item x="50"/>
        <item x="58"/>
        <item x="51"/>
        <item x="15"/>
        <item x="76"/>
        <item x="65"/>
        <item x="22"/>
        <item x="0"/>
        <item x="7"/>
        <item x="28"/>
        <item x="41"/>
        <item x="44"/>
        <item t="default"/>
      </items>
    </pivotField>
    <pivotField showAll="0"/>
    <pivotField showAll="0"/>
    <pivotField dataField="1" numFmtId="44" showAll="0"/>
    <pivotField dataField="1" numFmtId="44"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6"/>
    <field x="5"/>
    <field x="0"/>
  </rowFields>
  <rowItems count="8">
    <i>
      <x v="1"/>
    </i>
    <i>
      <x v="2"/>
    </i>
    <i>
      <x v="3"/>
    </i>
    <i>
      <x v="4"/>
    </i>
    <i>
      <x v="5"/>
    </i>
    <i>
      <x v="6"/>
    </i>
    <i>
      <x v="7"/>
    </i>
    <i t="grand">
      <x/>
    </i>
  </rowItems>
  <colFields count="1">
    <field x="-2"/>
  </colFields>
  <colItems count="2">
    <i>
      <x/>
    </i>
    <i i="1">
      <x v="1"/>
    </i>
  </colItems>
  <dataFields count="2">
    <dataField name="Sum of Actual Amount" fld="3" baseField="0" baseItem="0" numFmtId="44"/>
    <dataField name="Sum of Expected Amount" fld="4" baseField="0" baseItem="0" numFmtId="44"/>
  </dataFields>
  <chartFormats count="4">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45D3FE-B770-4F0C-8B2C-2F2CB58350AD}" name="PivotTable2" cacheId="0"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6">
  <location ref="A4:B13" firstHeaderRow="1" firstDataRow="1" firstDataCol="1"/>
  <pivotFields count="7">
    <pivotField numFmtId="14" showAll="0">
      <items count="80">
        <item x="59"/>
        <item x="1"/>
        <item x="36"/>
        <item x="73"/>
        <item x="29"/>
        <item x="45"/>
        <item x="23"/>
        <item x="16"/>
        <item x="8"/>
        <item x="52"/>
        <item x="42"/>
        <item x="77"/>
        <item x="24"/>
        <item x="46"/>
        <item x="74"/>
        <item x="66"/>
        <item x="78"/>
        <item x="53"/>
        <item x="62"/>
        <item x="17"/>
        <item x="30"/>
        <item x="37"/>
        <item x="2"/>
        <item x="9"/>
        <item x="10"/>
        <item x="47"/>
        <item x="38"/>
        <item x="11"/>
        <item x="63"/>
        <item x="3"/>
        <item x="18"/>
        <item x="31"/>
        <item x="67"/>
        <item x="60"/>
        <item x="54"/>
        <item x="4"/>
        <item x="12"/>
        <item x="32"/>
        <item x="19"/>
        <item x="48"/>
        <item x="61"/>
        <item x="70"/>
        <item x="68"/>
        <item x="64"/>
        <item x="25"/>
        <item x="39"/>
        <item x="55"/>
        <item x="49"/>
        <item x="56"/>
        <item x="20"/>
        <item x="33"/>
        <item x="34"/>
        <item x="5"/>
        <item x="13"/>
        <item x="71"/>
        <item x="26"/>
        <item x="69"/>
        <item x="35"/>
        <item x="40"/>
        <item x="43"/>
        <item x="75"/>
        <item x="14"/>
        <item x="21"/>
        <item x="57"/>
        <item x="27"/>
        <item x="72"/>
        <item x="6"/>
        <item x="50"/>
        <item x="58"/>
        <item x="51"/>
        <item x="15"/>
        <item x="76"/>
        <item x="65"/>
        <item x="22"/>
        <item x="0"/>
        <item x="7"/>
        <item x="28"/>
        <item x="41"/>
        <item x="44"/>
        <item t="default"/>
      </items>
    </pivotField>
    <pivotField axis="axisRow" showAll="0">
      <items count="9">
        <item x="0"/>
        <item x="1"/>
        <item x="2"/>
        <item x="3"/>
        <item x="4"/>
        <item x="5"/>
        <item x="6"/>
        <item x="7"/>
        <item t="default"/>
      </items>
    </pivotField>
    <pivotField showAll="0"/>
    <pivotField dataField="1" numFmtId="44" showAll="0"/>
    <pivotField numFmtId="4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1"/>
  </rowFields>
  <rowItems count="9">
    <i>
      <x/>
    </i>
    <i>
      <x v="1"/>
    </i>
    <i>
      <x v="2"/>
    </i>
    <i>
      <x v="3"/>
    </i>
    <i>
      <x v="4"/>
    </i>
    <i>
      <x v="5"/>
    </i>
    <i>
      <x v="6"/>
    </i>
    <i>
      <x v="7"/>
    </i>
    <i t="grand">
      <x/>
    </i>
  </rowItems>
  <colItems count="1">
    <i/>
  </colItems>
  <dataFields count="1">
    <dataField name="Sum of Actual Amount" fld="3" baseField="0" baseItem="0" numFmtId="44"/>
  </dataFields>
  <chartFormats count="18">
    <chartFormat chart="5" format="19" series="1">
      <pivotArea type="data" outline="0" fieldPosition="0">
        <references count="1">
          <reference field="4294967294" count="1" selected="0">
            <x v="0"/>
          </reference>
        </references>
      </pivotArea>
    </chartFormat>
    <chartFormat chart="5" format="20">
      <pivotArea type="data" outline="0" fieldPosition="0">
        <references count="2">
          <reference field="4294967294" count="1" selected="0">
            <x v="0"/>
          </reference>
          <reference field="1" count="1" selected="0">
            <x v="0"/>
          </reference>
        </references>
      </pivotArea>
    </chartFormat>
    <chartFormat chart="5" format="21">
      <pivotArea type="data" outline="0" fieldPosition="0">
        <references count="2">
          <reference field="4294967294" count="1" selected="0">
            <x v="0"/>
          </reference>
          <reference field="1" count="1" selected="0">
            <x v="1"/>
          </reference>
        </references>
      </pivotArea>
    </chartFormat>
    <chartFormat chart="5" format="22">
      <pivotArea type="data" outline="0" fieldPosition="0">
        <references count="2">
          <reference field="4294967294" count="1" selected="0">
            <x v="0"/>
          </reference>
          <reference field="1" count="1" selected="0">
            <x v="2"/>
          </reference>
        </references>
      </pivotArea>
    </chartFormat>
    <chartFormat chart="5" format="23">
      <pivotArea type="data" outline="0" fieldPosition="0">
        <references count="2">
          <reference field="4294967294" count="1" selected="0">
            <x v="0"/>
          </reference>
          <reference field="1" count="1" selected="0">
            <x v="3"/>
          </reference>
        </references>
      </pivotArea>
    </chartFormat>
    <chartFormat chart="5" format="24">
      <pivotArea type="data" outline="0" fieldPosition="0">
        <references count="2">
          <reference field="4294967294" count="1" selected="0">
            <x v="0"/>
          </reference>
          <reference field="1" count="1" selected="0">
            <x v="4"/>
          </reference>
        </references>
      </pivotArea>
    </chartFormat>
    <chartFormat chart="5" format="25">
      <pivotArea type="data" outline="0" fieldPosition="0">
        <references count="2">
          <reference field="4294967294" count="1" selected="0">
            <x v="0"/>
          </reference>
          <reference field="1" count="1" selected="0">
            <x v="5"/>
          </reference>
        </references>
      </pivotArea>
    </chartFormat>
    <chartFormat chart="5" format="26">
      <pivotArea type="data" outline="0" fieldPosition="0">
        <references count="2">
          <reference field="4294967294" count="1" selected="0">
            <x v="0"/>
          </reference>
          <reference field="1" count="1" selected="0">
            <x v="6"/>
          </reference>
        </references>
      </pivotArea>
    </chartFormat>
    <chartFormat chart="5" format="27">
      <pivotArea type="data" outline="0" fieldPosition="0">
        <references count="2">
          <reference field="4294967294" count="1" selected="0">
            <x v="0"/>
          </reference>
          <reference field="1" count="1" selected="0">
            <x v="7"/>
          </reference>
        </references>
      </pivotArea>
    </chartFormat>
    <chartFormat chart="0" format="10" series="1">
      <pivotArea type="data" outline="0" fieldPosition="0">
        <references count="1">
          <reference field="4294967294" count="1" selected="0">
            <x v="0"/>
          </reference>
        </references>
      </pivotArea>
    </chartFormat>
    <chartFormat chart="0" format="11">
      <pivotArea type="data" outline="0" fieldPosition="0">
        <references count="2">
          <reference field="4294967294" count="1" selected="0">
            <x v="0"/>
          </reference>
          <reference field="1" count="1" selected="0">
            <x v="0"/>
          </reference>
        </references>
      </pivotArea>
    </chartFormat>
    <chartFormat chart="0" format="12">
      <pivotArea type="data" outline="0" fieldPosition="0">
        <references count="2">
          <reference field="4294967294" count="1" selected="0">
            <x v="0"/>
          </reference>
          <reference field="1" count="1" selected="0">
            <x v="1"/>
          </reference>
        </references>
      </pivotArea>
    </chartFormat>
    <chartFormat chart="0" format="13">
      <pivotArea type="data" outline="0" fieldPosition="0">
        <references count="2">
          <reference field="4294967294" count="1" selected="0">
            <x v="0"/>
          </reference>
          <reference field="1" count="1" selected="0">
            <x v="2"/>
          </reference>
        </references>
      </pivotArea>
    </chartFormat>
    <chartFormat chart="0" format="14">
      <pivotArea type="data" outline="0" fieldPosition="0">
        <references count="2">
          <reference field="4294967294" count="1" selected="0">
            <x v="0"/>
          </reference>
          <reference field="1" count="1" selected="0">
            <x v="3"/>
          </reference>
        </references>
      </pivotArea>
    </chartFormat>
    <chartFormat chart="0" format="15">
      <pivotArea type="data" outline="0" fieldPosition="0">
        <references count="2">
          <reference field="4294967294" count="1" selected="0">
            <x v="0"/>
          </reference>
          <reference field="1" count="1" selected="0">
            <x v="4"/>
          </reference>
        </references>
      </pivotArea>
    </chartFormat>
    <chartFormat chart="0" format="16">
      <pivotArea type="data" outline="0" fieldPosition="0">
        <references count="2">
          <reference field="4294967294" count="1" selected="0">
            <x v="0"/>
          </reference>
          <reference field="1" count="1" selected="0">
            <x v="5"/>
          </reference>
        </references>
      </pivotArea>
    </chartFormat>
    <chartFormat chart="0" format="17">
      <pivotArea type="data" outline="0" fieldPosition="0">
        <references count="2">
          <reference field="4294967294" count="1" selected="0">
            <x v="0"/>
          </reference>
          <reference field="1" count="1" selected="0">
            <x v="6"/>
          </reference>
        </references>
      </pivotArea>
    </chartFormat>
    <chartFormat chart="0" format="18">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D2BFB5-1331-4E0C-90FE-719DEA8343C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0" firstHeaderRow="1" firstDataRow="1" firstDataCol="1"/>
  <pivotFields count="4">
    <pivotField axis="axisRow" showAll="0">
      <items count="7">
        <item x="0"/>
        <item x="1"/>
        <item x="2"/>
        <item x="3"/>
        <item x="4"/>
        <item x="5"/>
        <item t="default"/>
      </items>
    </pivotField>
    <pivotField showAll="0">
      <items count="2">
        <item x="0"/>
        <item t="default"/>
      </items>
    </pivotField>
    <pivotField showAll="0"/>
    <pivotField dataField="1" showAll="0"/>
  </pivotFields>
  <rowFields count="1">
    <field x="0"/>
  </rowFields>
  <rowItems count="7">
    <i>
      <x/>
    </i>
    <i>
      <x v="1"/>
    </i>
    <i>
      <x v="2"/>
    </i>
    <i>
      <x v="3"/>
    </i>
    <i>
      <x v="4"/>
    </i>
    <i>
      <x v="5"/>
    </i>
    <i t="grand">
      <x/>
    </i>
  </rowItems>
  <colItems count="1">
    <i/>
  </colItems>
  <dataFields count="1">
    <dataField name="Sum of Amount" fld="3" baseField="0" baseItem="0"/>
  </dataFields>
  <formats count="1">
    <format dxfId="0">
      <pivotArea collapsedLevelsAreSubtotals="1" fieldPosition="0">
        <references count="1">
          <reference field="0" count="0"/>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ource" xr10:uid="{568052E6-FE3D-4FA5-AEA8-D6DD7CE2B9F0}" sourceName="Payment Source">
  <pivotTables>
    <pivotTable tabId="15" name="PivotTable1"/>
  </pivotTables>
  <data>
    <tabular pivotCacheId="1659463691">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CB319AEE-6F72-41A9-B770-9D6F2373FF6F}" sourceName="Months (Date)">
  <pivotTables>
    <pivotTable tabId="13" name="PivotTable2"/>
  </pivotTables>
  <data>
    <tabular pivotCacheId="219662961">
      <items count="14">
        <i x="1" s="1"/>
        <i x="2" s="1"/>
        <i x="3" s="1"/>
        <i x="4" s="1"/>
        <i x="5" s="1"/>
        <i x="6" s="1"/>
        <i x="7" s="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Source 1" xr10:uid="{F4737C81-3757-4CB5-820F-E010A1999061}" cache="Slicer_Payment_Source" caption="Payment Source" style="Slicer Style 2" rowHeight="251883"/>
  <slicer name="Months (Date)" xr10:uid="{89AA5261-CAD9-43E4-AEE3-C20FC204A2E0}" cache="Slicer_Months__Date" caption="Months (Date)" columnCount="7" style="Slicer Style 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Source" xr10:uid="{CD992CE8-1341-426B-A505-1B24AF57A537}" cache="Slicer_Payment_Source" caption="Payment Sourc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4450C-2FDD-4EBD-BEFA-8C178E823E2F}">
  <sheetPr codeName="Sheet2"/>
  <dimension ref="A1"/>
  <sheetViews>
    <sheetView tabSelected="1" zoomScale="80" zoomScaleNormal="80" zoomScaleSheetLayoutView="48" workbookViewId="0">
      <selection activeCell="V10" sqref="V10"/>
    </sheetView>
  </sheetViews>
  <sheetFormatPr defaultColWidth="8.75" defaultRowHeight="14.25"/>
  <cols>
    <col min="1" max="16384" width="8.7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1A2F3-9C50-4FED-A8B1-A49BFAA5324C}">
  <sheetPr codeName="Sheet1"/>
  <dimension ref="B1:L96"/>
  <sheetViews>
    <sheetView topLeftCell="A64" zoomScale="57" workbookViewId="0">
      <selection activeCell="I112" sqref="I112"/>
    </sheetView>
  </sheetViews>
  <sheetFormatPr defaultColWidth="8.75" defaultRowHeight="14.25"/>
  <cols>
    <col min="1" max="1" width="8.75" style="12"/>
    <col min="2" max="2" width="24" style="52" customWidth="1"/>
    <col min="3" max="3" width="15.25" style="53" bestFit="1" customWidth="1"/>
    <col min="4" max="4" width="18.25" style="53" bestFit="1" customWidth="1"/>
    <col min="5" max="5" width="15" style="60" bestFit="1" customWidth="1"/>
    <col min="6" max="6" width="15.25" style="60" bestFit="1" customWidth="1"/>
    <col min="7" max="7" width="8.75" style="12"/>
    <col min="8" max="8" width="28.75" style="12" bestFit="1" customWidth="1"/>
    <col min="9" max="9" width="15.25" style="12" bestFit="1" customWidth="1"/>
    <col min="10" max="10" width="12.25" style="12" bestFit="1" customWidth="1"/>
    <col min="11" max="11" width="13.25" style="12" bestFit="1" customWidth="1"/>
    <col min="12" max="12" width="15.25" style="12" bestFit="1" customWidth="1"/>
    <col min="13" max="16384" width="8.75" style="12"/>
  </cols>
  <sheetData>
    <row r="1" spans="2:12" s="56" customFormat="1">
      <c r="B1" s="55"/>
      <c r="E1" s="57"/>
      <c r="F1" s="57"/>
    </row>
    <row r="2" spans="2:12" ht="27">
      <c r="B2" s="66" t="s">
        <v>1</v>
      </c>
      <c r="C2" s="67"/>
      <c r="D2" s="67"/>
      <c r="E2" s="67"/>
      <c r="F2" s="68"/>
      <c r="H2" s="58"/>
      <c r="I2" s="13"/>
      <c r="J2" s="13"/>
      <c r="K2" s="59"/>
      <c r="L2" s="59"/>
    </row>
    <row r="3" spans="2:12">
      <c r="B3" s="13" t="s">
        <v>45</v>
      </c>
      <c r="C3" s="13" t="s">
        <v>0</v>
      </c>
      <c r="D3" s="13" t="s">
        <v>2</v>
      </c>
      <c r="E3" s="13" t="s">
        <v>4</v>
      </c>
      <c r="F3" s="13" t="s">
        <v>3</v>
      </c>
      <c r="H3" s="13" t="s">
        <v>45</v>
      </c>
      <c r="I3" s="13" t="s">
        <v>0</v>
      </c>
      <c r="J3" s="13" t="s">
        <v>2</v>
      </c>
      <c r="K3" s="13" t="s">
        <v>4</v>
      </c>
      <c r="L3" s="13" t="s">
        <v>3</v>
      </c>
    </row>
    <row r="4" spans="2:12">
      <c r="B4" s="52">
        <v>45856</v>
      </c>
      <c r="C4" s="53" t="s">
        <v>41</v>
      </c>
      <c r="D4" s="53" t="s">
        <v>26</v>
      </c>
      <c r="E4" s="60">
        <v>6326</v>
      </c>
      <c r="F4" s="60">
        <v>8237</v>
      </c>
    </row>
    <row r="5" spans="2:12">
      <c r="B5" s="52">
        <v>45668</v>
      </c>
      <c r="C5" s="53" t="s">
        <v>41</v>
      </c>
      <c r="D5" s="53" t="s">
        <v>27</v>
      </c>
      <c r="E5" s="60">
        <v>9849</v>
      </c>
      <c r="F5" s="60">
        <v>3787</v>
      </c>
    </row>
    <row r="6" spans="2:12">
      <c r="B6" s="52">
        <v>45716</v>
      </c>
      <c r="C6" s="53" t="s">
        <v>41</v>
      </c>
      <c r="D6" s="53" t="s">
        <v>28</v>
      </c>
      <c r="E6" s="60">
        <v>4815</v>
      </c>
      <c r="F6" s="60">
        <v>9637</v>
      </c>
    </row>
    <row r="7" spans="2:12">
      <c r="B7" s="52">
        <v>45738</v>
      </c>
      <c r="C7" s="53" t="s">
        <v>41</v>
      </c>
      <c r="D7" s="53" t="s">
        <v>26</v>
      </c>
      <c r="E7" s="60">
        <v>5008</v>
      </c>
      <c r="F7" s="60">
        <v>7311</v>
      </c>
    </row>
    <row r="8" spans="2:12">
      <c r="B8" s="52">
        <v>45751</v>
      </c>
      <c r="C8" s="53" t="s">
        <v>41</v>
      </c>
      <c r="D8" s="53" t="s">
        <v>27</v>
      </c>
      <c r="E8" s="60">
        <v>7654</v>
      </c>
      <c r="F8" s="60">
        <v>5456</v>
      </c>
    </row>
    <row r="9" spans="2:12">
      <c r="B9" s="52">
        <v>45794</v>
      </c>
      <c r="C9" s="53" t="s">
        <v>41</v>
      </c>
      <c r="D9" s="53" t="s">
        <v>28</v>
      </c>
      <c r="E9" s="60">
        <v>2645</v>
      </c>
      <c r="F9" s="60">
        <v>6675</v>
      </c>
    </row>
    <row r="10" spans="2:12">
      <c r="B10" s="52">
        <v>45835</v>
      </c>
      <c r="C10" s="53" t="s">
        <v>41</v>
      </c>
      <c r="D10" s="53" t="s">
        <v>26</v>
      </c>
      <c r="E10" s="60">
        <v>3227</v>
      </c>
      <c r="F10" s="60">
        <v>56</v>
      </c>
    </row>
    <row r="11" spans="2:12">
      <c r="B11" s="52">
        <v>45863</v>
      </c>
      <c r="C11" s="53" t="s">
        <v>41</v>
      </c>
      <c r="D11" s="53" t="s">
        <v>27</v>
      </c>
      <c r="E11" s="60">
        <v>500</v>
      </c>
      <c r="F11" s="60">
        <v>7393</v>
      </c>
    </row>
    <row r="12" spans="2:12">
      <c r="B12" s="52">
        <v>45684</v>
      </c>
      <c r="C12" s="53" t="s">
        <v>41</v>
      </c>
      <c r="D12" s="53" t="s">
        <v>28</v>
      </c>
      <c r="E12" s="60">
        <v>9747</v>
      </c>
      <c r="F12" s="60">
        <v>7240</v>
      </c>
    </row>
    <row r="13" spans="2:12">
      <c r="B13" s="52">
        <v>45719</v>
      </c>
      <c r="C13" s="53" t="s">
        <v>41</v>
      </c>
      <c r="D13" s="53" t="s">
        <v>26</v>
      </c>
      <c r="E13" s="60">
        <v>4628</v>
      </c>
      <c r="F13" s="60">
        <v>5815</v>
      </c>
    </row>
    <row r="14" spans="2:12">
      <c r="B14" s="52">
        <v>45726</v>
      </c>
      <c r="C14" s="53" t="s">
        <v>41</v>
      </c>
      <c r="D14" s="53" t="s">
        <v>27</v>
      </c>
      <c r="E14" s="60">
        <v>6373</v>
      </c>
      <c r="F14" s="60">
        <v>7751</v>
      </c>
    </row>
    <row r="15" spans="2:12">
      <c r="B15" s="52">
        <v>45732</v>
      </c>
      <c r="C15" s="53" t="s">
        <v>7</v>
      </c>
      <c r="D15" s="53" t="s">
        <v>17</v>
      </c>
      <c r="E15" s="60">
        <v>9076</v>
      </c>
      <c r="F15" s="60">
        <v>1282</v>
      </c>
    </row>
    <row r="16" spans="2:12">
      <c r="B16" s="52">
        <v>45753</v>
      </c>
      <c r="C16" s="53" t="s">
        <v>7</v>
      </c>
      <c r="D16" s="53" t="s">
        <v>18</v>
      </c>
      <c r="E16" s="60">
        <v>3601</v>
      </c>
      <c r="F16" s="60">
        <v>7176</v>
      </c>
    </row>
    <row r="17" spans="2:6">
      <c r="B17" s="52">
        <v>45795</v>
      </c>
      <c r="C17" s="53" t="s">
        <v>7</v>
      </c>
      <c r="D17" s="53" t="s">
        <v>17</v>
      </c>
      <c r="E17" s="60">
        <v>4994</v>
      </c>
      <c r="F17" s="60">
        <v>8803</v>
      </c>
    </row>
    <row r="18" spans="2:6">
      <c r="B18" s="52">
        <v>45819</v>
      </c>
      <c r="C18" s="53" t="s">
        <v>7</v>
      </c>
      <c r="D18" s="53" t="s">
        <v>18</v>
      </c>
      <c r="E18" s="60">
        <v>3901</v>
      </c>
      <c r="F18" s="60">
        <v>7802</v>
      </c>
    </row>
    <row r="19" spans="2:6">
      <c r="B19" s="52">
        <v>45845</v>
      </c>
      <c r="C19" s="53" t="s">
        <v>7</v>
      </c>
      <c r="D19" s="53" t="s">
        <v>17</v>
      </c>
      <c r="E19" s="60">
        <v>3202</v>
      </c>
      <c r="F19" s="60">
        <v>1043</v>
      </c>
    </row>
    <row r="20" spans="2:6">
      <c r="B20" s="52">
        <v>45683</v>
      </c>
      <c r="C20" s="53" t="s">
        <v>7</v>
      </c>
      <c r="D20" s="53" t="s">
        <v>18</v>
      </c>
      <c r="E20" s="60">
        <v>4285</v>
      </c>
      <c r="F20" s="60">
        <v>9910</v>
      </c>
    </row>
    <row r="21" spans="2:6">
      <c r="B21" s="52">
        <v>45711</v>
      </c>
      <c r="C21" s="53" t="s">
        <v>7</v>
      </c>
      <c r="D21" s="53" t="s">
        <v>17</v>
      </c>
      <c r="E21" s="60">
        <v>6128</v>
      </c>
      <c r="F21" s="60">
        <v>3487</v>
      </c>
    </row>
    <row r="22" spans="2:6">
      <c r="B22" s="52">
        <v>45741</v>
      </c>
      <c r="C22" s="53" t="s">
        <v>7</v>
      </c>
      <c r="D22" s="53" t="s">
        <v>18</v>
      </c>
      <c r="E22" s="60">
        <v>3209</v>
      </c>
      <c r="F22" s="60">
        <v>8129</v>
      </c>
    </row>
    <row r="23" spans="2:6">
      <c r="B23" s="52">
        <v>45758</v>
      </c>
      <c r="C23" s="53" t="s">
        <v>7</v>
      </c>
      <c r="D23" s="53" t="s">
        <v>17</v>
      </c>
      <c r="E23" s="60">
        <v>8209</v>
      </c>
      <c r="F23" s="60">
        <v>5633</v>
      </c>
    </row>
    <row r="24" spans="2:6">
      <c r="B24" s="52">
        <v>45785</v>
      </c>
      <c r="C24" s="53" t="s">
        <v>7</v>
      </c>
      <c r="D24" s="53" t="s">
        <v>18</v>
      </c>
      <c r="E24" s="60">
        <v>9513</v>
      </c>
      <c r="F24" s="60">
        <v>6899</v>
      </c>
    </row>
    <row r="25" spans="2:6">
      <c r="B25" s="52">
        <v>45820</v>
      </c>
      <c r="C25" s="53" t="s">
        <v>7</v>
      </c>
      <c r="D25" s="53" t="s">
        <v>17</v>
      </c>
      <c r="E25" s="60">
        <v>4699</v>
      </c>
      <c r="F25" s="60">
        <v>5713</v>
      </c>
    </row>
    <row r="26" spans="2:6">
      <c r="B26" s="52">
        <v>45855</v>
      </c>
      <c r="C26" s="53" t="s">
        <v>7</v>
      </c>
      <c r="D26" s="53" t="s">
        <v>18</v>
      </c>
      <c r="E26" s="60">
        <v>6165</v>
      </c>
      <c r="F26" s="60">
        <v>7513</v>
      </c>
    </row>
    <row r="27" spans="2:6">
      <c r="B27" s="52">
        <v>45681</v>
      </c>
      <c r="C27" s="53" t="s">
        <v>5</v>
      </c>
      <c r="D27" s="53" t="s">
        <v>11</v>
      </c>
      <c r="E27" s="60">
        <v>7708</v>
      </c>
      <c r="F27" s="60">
        <v>6645</v>
      </c>
    </row>
    <row r="28" spans="2:6">
      <c r="B28" s="52">
        <v>45691</v>
      </c>
      <c r="C28" s="53" t="s">
        <v>5</v>
      </c>
      <c r="D28" s="53" t="s">
        <v>12</v>
      </c>
      <c r="E28" s="60">
        <v>4821</v>
      </c>
      <c r="F28" s="60">
        <v>5344</v>
      </c>
    </row>
    <row r="29" spans="2:6">
      <c r="B29" s="52">
        <v>45726</v>
      </c>
      <c r="C29" s="53" t="s">
        <v>5</v>
      </c>
      <c r="D29" s="53" t="s">
        <v>11</v>
      </c>
      <c r="E29" s="60">
        <v>630</v>
      </c>
      <c r="F29" s="60">
        <v>2392</v>
      </c>
    </row>
    <row r="30" spans="2:6">
      <c r="B30" s="52">
        <v>45770</v>
      </c>
      <c r="C30" s="53" t="s">
        <v>5</v>
      </c>
      <c r="D30" s="53" t="s">
        <v>12</v>
      </c>
      <c r="E30" s="60">
        <v>2217</v>
      </c>
      <c r="F30" s="60">
        <v>9374</v>
      </c>
    </row>
    <row r="31" spans="2:6">
      <c r="B31" s="52">
        <v>45802</v>
      </c>
      <c r="C31" s="53" t="s">
        <v>5</v>
      </c>
      <c r="D31" s="53" t="s">
        <v>11</v>
      </c>
      <c r="E31" s="60">
        <v>9246</v>
      </c>
      <c r="F31" s="60">
        <v>3756</v>
      </c>
    </row>
    <row r="32" spans="2:6">
      <c r="B32" s="52">
        <v>45831</v>
      </c>
      <c r="C32" s="53" t="s">
        <v>5</v>
      </c>
      <c r="D32" s="53" t="s">
        <v>12</v>
      </c>
      <c r="E32" s="60">
        <v>746</v>
      </c>
      <c r="F32" s="60">
        <v>4999</v>
      </c>
    </row>
    <row r="33" spans="2:6">
      <c r="B33" s="52">
        <v>45866</v>
      </c>
      <c r="C33" s="53" t="s">
        <v>5</v>
      </c>
      <c r="D33" s="53" t="s">
        <v>11</v>
      </c>
      <c r="E33" s="60">
        <v>2156</v>
      </c>
      <c r="F33" s="60">
        <v>9718</v>
      </c>
    </row>
    <row r="34" spans="2:6">
      <c r="B34" s="52">
        <v>45676</v>
      </c>
      <c r="C34" s="53" t="s">
        <v>5</v>
      </c>
      <c r="D34" s="53" t="s">
        <v>12</v>
      </c>
      <c r="E34" s="60">
        <v>7851</v>
      </c>
      <c r="F34" s="60">
        <v>8218</v>
      </c>
    </row>
    <row r="35" spans="2:6">
      <c r="B35" s="52">
        <v>45714</v>
      </c>
      <c r="C35" s="53" t="s">
        <v>5</v>
      </c>
      <c r="D35" s="53" t="s">
        <v>11</v>
      </c>
      <c r="E35" s="60">
        <v>1773</v>
      </c>
      <c r="F35" s="60">
        <v>7291</v>
      </c>
    </row>
    <row r="36" spans="2:6">
      <c r="B36" s="52">
        <v>45742</v>
      </c>
      <c r="C36" s="53" t="s">
        <v>5</v>
      </c>
      <c r="D36" s="53" t="s">
        <v>12</v>
      </c>
      <c r="E36" s="60">
        <v>1959</v>
      </c>
      <c r="F36" s="60">
        <v>7770</v>
      </c>
    </row>
    <row r="37" spans="2:6">
      <c r="B37" s="52">
        <v>45757</v>
      </c>
      <c r="C37" s="53" t="s">
        <v>5</v>
      </c>
      <c r="D37" s="53" t="s">
        <v>11</v>
      </c>
      <c r="E37" s="60">
        <v>3891</v>
      </c>
      <c r="F37" s="60">
        <v>4564</v>
      </c>
    </row>
    <row r="38" spans="2:6">
      <c r="B38" s="52">
        <v>45787</v>
      </c>
      <c r="C38" s="53" t="s">
        <v>5</v>
      </c>
      <c r="D38" s="53" t="s">
        <v>12</v>
      </c>
      <c r="E38" s="60">
        <v>9768</v>
      </c>
      <c r="F38" s="60">
        <v>8271</v>
      </c>
    </row>
    <row r="39" spans="2:6">
      <c r="B39" s="52">
        <v>45792</v>
      </c>
      <c r="C39" s="53" t="s">
        <v>9</v>
      </c>
      <c r="D39" s="53" t="s">
        <v>23</v>
      </c>
      <c r="E39" s="60">
        <v>2728</v>
      </c>
      <c r="F39" s="60">
        <v>9629</v>
      </c>
    </row>
    <row r="40" spans="2:6">
      <c r="B40" s="52">
        <v>45811</v>
      </c>
      <c r="C40" s="53" t="s">
        <v>9</v>
      </c>
      <c r="D40" s="53" t="s">
        <v>24</v>
      </c>
      <c r="E40" s="60">
        <v>7544</v>
      </c>
      <c r="F40" s="60">
        <v>5984</v>
      </c>
    </row>
    <row r="41" spans="2:6">
      <c r="B41" s="52">
        <v>45845</v>
      </c>
      <c r="C41" s="53" t="s">
        <v>9</v>
      </c>
      <c r="D41" s="53" t="s">
        <v>25</v>
      </c>
      <c r="E41" s="60">
        <v>8737</v>
      </c>
      <c r="F41" s="60">
        <v>1004</v>
      </c>
    </row>
    <row r="42" spans="2:6">
      <c r="B42" s="52">
        <v>45674</v>
      </c>
      <c r="C42" s="53" t="s">
        <v>9</v>
      </c>
      <c r="D42" s="53" t="s">
        <v>23</v>
      </c>
      <c r="E42" s="60">
        <v>639</v>
      </c>
      <c r="F42" s="60">
        <v>1768</v>
      </c>
    </row>
    <row r="43" spans="2:6">
      <c r="B43" s="52">
        <v>45715</v>
      </c>
      <c r="C43" s="53" t="s">
        <v>9</v>
      </c>
      <c r="D43" s="53" t="s">
        <v>24</v>
      </c>
      <c r="E43" s="60">
        <v>1476</v>
      </c>
      <c r="F43" s="60">
        <v>188</v>
      </c>
    </row>
    <row r="44" spans="2:6">
      <c r="B44" s="52">
        <v>45731</v>
      </c>
      <c r="C44" s="53" t="s">
        <v>9</v>
      </c>
      <c r="D44" s="53" t="s">
        <v>25</v>
      </c>
      <c r="E44" s="60">
        <v>7808</v>
      </c>
      <c r="F44" s="60">
        <v>9383</v>
      </c>
    </row>
    <row r="45" spans="2:6">
      <c r="B45" s="52">
        <v>45774</v>
      </c>
      <c r="C45" s="53" t="s">
        <v>9</v>
      </c>
      <c r="D45" s="53" t="s">
        <v>23</v>
      </c>
      <c r="E45" s="60">
        <v>9809</v>
      </c>
      <c r="F45" s="60">
        <v>2343</v>
      </c>
    </row>
    <row r="46" spans="2:6">
      <c r="B46" s="52">
        <v>45787</v>
      </c>
      <c r="C46" s="53" t="s">
        <v>9</v>
      </c>
      <c r="D46" s="53" t="s">
        <v>24</v>
      </c>
      <c r="E46" s="60">
        <v>4098</v>
      </c>
      <c r="F46" s="60">
        <v>46</v>
      </c>
    </row>
    <row r="47" spans="2:6">
      <c r="B47" s="52">
        <v>45814</v>
      </c>
      <c r="C47" s="53" t="s">
        <v>9</v>
      </c>
      <c r="D47" s="53" t="s">
        <v>25</v>
      </c>
      <c r="E47" s="60">
        <v>5839</v>
      </c>
      <c r="F47" s="60">
        <v>7702</v>
      </c>
    </row>
    <row r="48" spans="2:6">
      <c r="B48" s="52">
        <v>45867</v>
      </c>
      <c r="C48" s="53" t="s">
        <v>9</v>
      </c>
      <c r="D48" s="53" t="s">
        <v>24</v>
      </c>
      <c r="E48" s="60">
        <v>6555</v>
      </c>
      <c r="F48" s="60">
        <v>4760</v>
      </c>
    </row>
    <row r="49" spans="2:6">
      <c r="B49" s="52">
        <v>45687</v>
      </c>
      <c r="C49" s="53" t="s">
        <v>9</v>
      </c>
      <c r="D49" s="53" t="s">
        <v>25</v>
      </c>
      <c r="E49" s="60">
        <v>1275</v>
      </c>
      <c r="F49" s="60">
        <v>6572</v>
      </c>
    </row>
    <row r="50" spans="2:6">
      <c r="B50" s="52">
        <v>45816</v>
      </c>
      <c r="C50" s="53" t="s">
        <v>40</v>
      </c>
      <c r="D50" s="53" t="s">
        <v>33</v>
      </c>
      <c r="E50" s="60">
        <v>1101</v>
      </c>
      <c r="F50" s="60">
        <v>2841</v>
      </c>
    </row>
    <row r="51" spans="2:6">
      <c r="B51" s="52">
        <v>45868</v>
      </c>
      <c r="C51" s="53" t="s">
        <v>40</v>
      </c>
      <c r="D51" s="53" t="s">
        <v>34</v>
      </c>
      <c r="E51" s="60">
        <v>9185</v>
      </c>
      <c r="F51" s="60">
        <v>9010</v>
      </c>
    </row>
    <row r="52" spans="2:6">
      <c r="B52" s="52">
        <v>45680</v>
      </c>
      <c r="C52" s="53" t="s">
        <v>40</v>
      </c>
      <c r="D52" s="53" t="s">
        <v>35</v>
      </c>
      <c r="E52" s="60">
        <v>5607</v>
      </c>
      <c r="F52" s="60">
        <v>9804</v>
      </c>
    </row>
    <row r="53" spans="2:6">
      <c r="B53" s="52">
        <v>45700</v>
      </c>
      <c r="C53" s="53" t="s">
        <v>40</v>
      </c>
      <c r="D53" s="53" t="s">
        <v>36</v>
      </c>
      <c r="E53" s="60">
        <v>3575</v>
      </c>
      <c r="F53" s="60">
        <v>4556</v>
      </c>
    </row>
    <row r="54" spans="2:6">
      <c r="B54" s="52">
        <v>45730</v>
      </c>
      <c r="C54" s="53" t="s">
        <v>40</v>
      </c>
      <c r="D54" s="53" t="s">
        <v>37</v>
      </c>
      <c r="E54" s="60">
        <v>2012</v>
      </c>
      <c r="F54" s="60">
        <v>1241</v>
      </c>
    </row>
    <row r="55" spans="2:6">
      <c r="B55" s="52">
        <v>45761</v>
      </c>
      <c r="C55" s="53" t="s">
        <v>40</v>
      </c>
      <c r="D55" s="53" t="s">
        <v>38</v>
      </c>
      <c r="E55" s="60">
        <v>2795</v>
      </c>
      <c r="F55" s="60">
        <v>4932</v>
      </c>
    </row>
    <row r="56" spans="2:6">
      <c r="B56" s="52">
        <v>45780</v>
      </c>
      <c r="C56" s="53" t="s">
        <v>40</v>
      </c>
      <c r="D56" s="53" t="s">
        <v>39</v>
      </c>
      <c r="E56" s="60">
        <v>6522</v>
      </c>
      <c r="F56" s="60">
        <v>1468</v>
      </c>
    </row>
    <row r="57" spans="2:6">
      <c r="B57" s="52">
        <v>45838</v>
      </c>
      <c r="C57" s="53" t="s">
        <v>40</v>
      </c>
      <c r="D57" s="53" t="s">
        <v>36</v>
      </c>
      <c r="E57" s="60">
        <v>5075</v>
      </c>
      <c r="F57" s="60">
        <v>5788</v>
      </c>
    </row>
    <row r="58" spans="2:6">
      <c r="B58" s="52">
        <v>45843</v>
      </c>
      <c r="C58" s="53" t="s">
        <v>40</v>
      </c>
      <c r="D58" s="53" t="s">
        <v>37</v>
      </c>
      <c r="E58" s="60">
        <v>3787</v>
      </c>
      <c r="F58" s="60">
        <v>8857</v>
      </c>
    </row>
    <row r="59" spans="2:6">
      <c r="B59" s="52">
        <v>45684</v>
      </c>
      <c r="C59" s="53" t="s">
        <v>40</v>
      </c>
      <c r="D59" s="53" t="s">
        <v>38</v>
      </c>
      <c r="E59" s="60">
        <v>2838</v>
      </c>
      <c r="F59" s="60">
        <v>2825</v>
      </c>
    </row>
    <row r="60" spans="2:6">
      <c r="B60" s="52">
        <v>45714</v>
      </c>
      <c r="C60" s="53" t="s">
        <v>40</v>
      </c>
      <c r="D60" s="53" t="s">
        <v>39</v>
      </c>
      <c r="E60" s="60">
        <v>933</v>
      </c>
      <c r="F60" s="60">
        <v>9419</v>
      </c>
    </row>
    <row r="61" spans="2:6">
      <c r="B61" s="52">
        <v>45685</v>
      </c>
      <c r="C61" s="53" t="s">
        <v>10</v>
      </c>
      <c r="D61" s="53" t="s">
        <v>29</v>
      </c>
      <c r="E61" s="60">
        <v>9773</v>
      </c>
      <c r="F61" s="60">
        <v>3823</v>
      </c>
    </row>
    <row r="62" spans="2:6">
      <c r="B62" s="52">
        <v>45708</v>
      </c>
      <c r="C62" s="53" t="s">
        <v>10</v>
      </c>
      <c r="D62" s="53" t="s">
        <v>30</v>
      </c>
      <c r="E62" s="60">
        <v>1142</v>
      </c>
      <c r="F62" s="60">
        <v>1332</v>
      </c>
    </row>
    <row r="63" spans="2:6">
      <c r="B63" s="52">
        <v>45747</v>
      </c>
      <c r="C63" s="53" t="s">
        <v>10</v>
      </c>
      <c r="D63" s="53" t="s">
        <v>31</v>
      </c>
      <c r="E63" s="60">
        <v>2342</v>
      </c>
      <c r="F63" s="60">
        <v>2648</v>
      </c>
    </row>
    <row r="64" spans="2:6">
      <c r="B64" s="52">
        <v>45778</v>
      </c>
      <c r="C64" s="53" t="s">
        <v>10</v>
      </c>
      <c r="D64" s="53" t="s">
        <v>32</v>
      </c>
      <c r="E64" s="60">
        <v>3375</v>
      </c>
      <c r="F64" s="60">
        <v>7082</v>
      </c>
    </row>
    <row r="65" spans="2:6">
      <c r="B65" s="52">
        <v>45783</v>
      </c>
      <c r="C65" s="53" t="s">
        <v>10</v>
      </c>
      <c r="D65" s="53" t="s">
        <v>29</v>
      </c>
      <c r="E65" s="60">
        <v>8011</v>
      </c>
      <c r="F65" s="60">
        <v>6568</v>
      </c>
    </row>
    <row r="66" spans="2:6">
      <c r="B66" s="52">
        <v>45830</v>
      </c>
      <c r="C66" s="53" t="s">
        <v>10</v>
      </c>
      <c r="D66" s="53" t="s">
        <v>30</v>
      </c>
      <c r="E66" s="60">
        <v>9169</v>
      </c>
      <c r="F66" s="60">
        <v>8344</v>
      </c>
    </row>
    <row r="67" spans="2:6">
      <c r="B67" s="52">
        <v>45842</v>
      </c>
      <c r="C67" s="53" t="s">
        <v>10</v>
      </c>
      <c r="D67" s="53" t="s">
        <v>31</v>
      </c>
      <c r="E67" s="60">
        <v>667</v>
      </c>
      <c r="F67" s="60">
        <v>4765</v>
      </c>
    </row>
    <row r="68" spans="2:6">
      <c r="B68" s="52">
        <v>45664</v>
      </c>
      <c r="C68" s="53" t="s">
        <v>10</v>
      </c>
      <c r="D68" s="53" t="s">
        <v>32</v>
      </c>
      <c r="E68" s="60">
        <v>5868</v>
      </c>
      <c r="F68" s="60">
        <v>8284</v>
      </c>
    </row>
    <row r="69" spans="2:6">
      <c r="B69" s="52">
        <v>45715</v>
      </c>
      <c r="C69" s="53" t="s">
        <v>10</v>
      </c>
      <c r="D69" s="53" t="s">
        <v>30</v>
      </c>
      <c r="E69" s="60">
        <v>8623</v>
      </c>
      <c r="F69" s="60">
        <v>5233</v>
      </c>
    </row>
    <row r="70" spans="2:6">
      <c r="B70" s="52">
        <v>45745</v>
      </c>
      <c r="C70" s="53" t="s">
        <v>10</v>
      </c>
      <c r="D70" s="53" t="s">
        <v>31</v>
      </c>
      <c r="E70" s="60">
        <v>7499</v>
      </c>
      <c r="F70" s="60">
        <v>5418</v>
      </c>
    </row>
    <row r="71" spans="2:6">
      <c r="B71" s="52">
        <v>45762</v>
      </c>
      <c r="C71" s="53" t="s">
        <v>10</v>
      </c>
      <c r="D71" s="53" t="s">
        <v>32</v>
      </c>
      <c r="E71" s="60">
        <v>6027</v>
      </c>
      <c r="F71" s="60">
        <v>7189</v>
      </c>
    </row>
    <row r="72" spans="2:6">
      <c r="B72" s="52">
        <v>45710</v>
      </c>
      <c r="C72" s="53" t="s">
        <v>6</v>
      </c>
      <c r="D72" s="53" t="s">
        <v>13</v>
      </c>
      <c r="E72" s="60">
        <v>4716</v>
      </c>
      <c r="F72" s="60">
        <v>8463</v>
      </c>
    </row>
    <row r="73" spans="2:6">
      <c r="B73" s="52">
        <v>45737</v>
      </c>
      <c r="C73" s="53" t="s">
        <v>6</v>
      </c>
      <c r="D73" s="53" t="s">
        <v>14</v>
      </c>
      <c r="E73" s="60">
        <v>2859</v>
      </c>
      <c r="F73" s="60">
        <v>947</v>
      </c>
    </row>
    <row r="74" spans="2:6">
      <c r="B74" s="52">
        <v>45768</v>
      </c>
      <c r="C74" s="53" t="s">
        <v>6</v>
      </c>
      <c r="D74" s="53" t="s">
        <v>15</v>
      </c>
      <c r="E74" s="60">
        <v>3667</v>
      </c>
      <c r="F74" s="60">
        <v>2994</v>
      </c>
    </row>
    <row r="75" spans="2:6">
      <c r="B75" s="52">
        <v>45783</v>
      </c>
      <c r="C75" s="53" t="s">
        <v>6</v>
      </c>
      <c r="D75" s="53" t="s">
        <v>16</v>
      </c>
      <c r="E75" s="60">
        <v>1898</v>
      </c>
      <c r="F75" s="60">
        <v>7429</v>
      </c>
    </row>
    <row r="76" spans="2:6">
      <c r="B76" s="52">
        <v>45811</v>
      </c>
      <c r="C76" s="53" t="s">
        <v>6</v>
      </c>
      <c r="D76" s="53" t="s">
        <v>13</v>
      </c>
      <c r="E76" s="60">
        <v>2442</v>
      </c>
      <c r="F76" s="60">
        <v>9742</v>
      </c>
    </row>
    <row r="77" spans="2:6">
      <c r="B77" s="52">
        <v>45849</v>
      </c>
      <c r="C77" s="53" t="s">
        <v>6</v>
      </c>
      <c r="D77" s="53" t="s">
        <v>14</v>
      </c>
      <c r="E77" s="60">
        <v>5444</v>
      </c>
      <c r="F77" s="60">
        <v>1238</v>
      </c>
    </row>
    <row r="78" spans="2:6">
      <c r="B78" s="52">
        <v>45685</v>
      </c>
      <c r="C78" s="53" t="s">
        <v>6</v>
      </c>
      <c r="D78" s="53" t="s">
        <v>15</v>
      </c>
      <c r="E78" s="60">
        <v>1527</v>
      </c>
      <c r="F78" s="60">
        <v>5109</v>
      </c>
    </row>
    <row r="79" spans="2:6">
      <c r="B79" s="52">
        <v>45705</v>
      </c>
      <c r="C79" s="53" t="s">
        <v>6</v>
      </c>
      <c r="D79" s="53" t="s">
        <v>16</v>
      </c>
      <c r="E79" s="60">
        <v>8857</v>
      </c>
      <c r="F79" s="60">
        <v>7511</v>
      </c>
    </row>
    <row r="80" spans="2:6">
      <c r="B80" s="52">
        <v>45743</v>
      </c>
      <c r="C80" s="53" t="s">
        <v>6</v>
      </c>
      <c r="D80" s="53" t="s">
        <v>13</v>
      </c>
      <c r="E80" s="60">
        <v>9652</v>
      </c>
      <c r="F80" s="60">
        <v>6387</v>
      </c>
    </row>
    <row r="81" spans="2:6">
      <c r="B81" s="52">
        <v>45765</v>
      </c>
      <c r="C81" s="53" t="s">
        <v>6</v>
      </c>
      <c r="D81" s="53" t="s">
        <v>14</v>
      </c>
      <c r="E81" s="60">
        <v>9690</v>
      </c>
      <c r="F81" s="60">
        <v>1196</v>
      </c>
    </row>
    <row r="82" spans="2:6">
      <c r="B82" s="52">
        <v>45805</v>
      </c>
      <c r="C82" s="53" t="s">
        <v>6</v>
      </c>
      <c r="D82" s="53" t="s">
        <v>15</v>
      </c>
      <c r="E82" s="60">
        <v>4977</v>
      </c>
      <c r="F82" s="60">
        <v>7829</v>
      </c>
    </row>
    <row r="83" spans="2:6">
      <c r="B83" s="52">
        <v>45835</v>
      </c>
      <c r="C83" s="53" t="s">
        <v>6</v>
      </c>
      <c r="D83" s="53" t="s">
        <v>16</v>
      </c>
      <c r="E83" s="60">
        <v>4680</v>
      </c>
      <c r="F83" s="60">
        <v>55</v>
      </c>
    </row>
    <row r="84" spans="2:6">
      <c r="B84" s="52">
        <v>45763</v>
      </c>
      <c r="C84" s="53" t="s">
        <v>8</v>
      </c>
      <c r="D84" s="53" t="s">
        <v>19</v>
      </c>
      <c r="E84" s="60">
        <v>6640</v>
      </c>
      <c r="F84" s="60">
        <v>1730</v>
      </c>
    </row>
    <row r="85" spans="2:6">
      <c r="B85" s="52">
        <v>45796</v>
      </c>
      <c r="C85" s="53" t="s">
        <v>8</v>
      </c>
      <c r="D85" s="53" t="s">
        <v>20</v>
      </c>
      <c r="E85" s="60">
        <v>4085</v>
      </c>
      <c r="F85" s="60">
        <v>9514</v>
      </c>
    </row>
    <row r="86" spans="2:6">
      <c r="B86" s="52">
        <v>45833</v>
      </c>
      <c r="C86" s="53" t="s">
        <v>8</v>
      </c>
      <c r="D86" s="53" t="s">
        <v>21</v>
      </c>
      <c r="E86" s="60">
        <v>644</v>
      </c>
      <c r="F86" s="60">
        <v>8878</v>
      </c>
    </row>
    <row r="87" spans="2:6">
      <c r="B87" s="52">
        <v>45845</v>
      </c>
      <c r="C87" s="53" t="s">
        <v>8</v>
      </c>
      <c r="D87" s="53" t="s">
        <v>22</v>
      </c>
      <c r="E87" s="60">
        <v>7855</v>
      </c>
      <c r="F87" s="60">
        <v>6882</v>
      </c>
    </row>
    <row r="88" spans="2:6">
      <c r="B88" s="52">
        <v>45675</v>
      </c>
      <c r="C88" s="53" t="s">
        <v>8</v>
      </c>
      <c r="D88" s="53" t="s">
        <v>19</v>
      </c>
      <c r="E88" s="60">
        <v>9519</v>
      </c>
      <c r="F88" s="60">
        <v>7958</v>
      </c>
    </row>
    <row r="89" spans="2:6">
      <c r="B89" s="52">
        <v>45703</v>
      </c>
      <c r="C89" s="53" t="s">
        <v>8</v>
      </c>
      <c r="D89" s="53" t="s">
        <v>20</v>
      </c>
      <c r="E89" s="60">
        <v>3379</v>
      </c>
      <c r="F89" s="60">
        <v>4247</v>
      </c>
    </row>
    <row r="90" spans="2:6">
      <c r="B90" s="52">
        <v>45737</v>
      </c>
      <c r="C90" s="53" t="s">
        <v>8</v>
      </c>
      <c r="D90" s="53" t="s">
        <v>21</v>
      </c>
      <c r="E90" s="60">
        <v>5801</v>
      </c>
      <c r="F90" s="60">
        <v>5323</v>
      </c>
    </row>
    <row r="91" spans="2:6">
      <c r="B91" s="52">
        <v>45757</v>
      </c>
      <c r="C91" s="53" t="s">
        <v>8</v>
      </c>
      <c r="D91" s="53" t="s">
        <v>22</v>
      </c>
      <c r="E91" s="60">
        <v>3865</v>
      </c>
      <c r="F91" s="60">
        <v>4732</v>
      </c>
    </row>
    <row r="92" spans="2:6">
      <c r="B92" s="52">
        <v>45795</v>
      </c>
      <c r="C92" s="53" t="s">
        <v>8</v>
      </c>
      <c r="D92" s="53" t="s">
        <v>20</v>
      </c>
      <c r="E92" s="60">
        <v>13</v>
      </c>
      <c r="F92" s="60">
        <v>9293</v>
      </c>
    </row>
    <row r="93" spans="2:6">
      <c r="B93" s="52">
        <v>45818</v>
      </c>
      <c r="C93" s="53" t="s">
        <v>8</v>
      </c>
      <c r="D93" s="53" t="s">
        <v>21</v>
      </c>
      <c r="E93" s="60">
        <v>3222</v>
      </c>
      <c r="F93" s="60">
        <v>2895</v>
      </c>
    </row>
    <row r="94" spans="2:6">
      <c r="B94" s="52">
        <v>45846</v>
      </c>
      <c r="C94" s="53" t="s">
        <v>8</v>
      </c>
      <c r="D94" s="53" t="s">
        <v>22</v>
      </c>
      <c r="E94" s="60">
        <v>3502</v>
      </c>
      <c r="F94" s="60">
        <v>4185</v>
      </c>
    </row>
    <row r="95" spans="2:6">
      <c r="B95" s="52">
        <v>45690</v>
      </c>
      <c r="C95" s="53" t="s">
        <v>7</v>
      </c>
      <c r="D95" s="53" t="s">
        <v>17</v>
      </c>
      <c r="E95" s="60">
        <v>100</v>
      </c>
      <c r="F95" s="60">
        <v>90</v>
      </c>
    </row>
    <row r="96" spans="2:6">
      <c r="B96" s="52">
        <v>45706</v>
      </c>
      <c r="C96" s="53" t="s">
        <v>6</v>
      </c>
      <c r="D96" s="53" t="s">
        <v>15</v>
      </c>
      <c r="E96" s="60">
        <v>100</v>
      </c>
      <c r="F96" s="60">
        <v>70</v>
      </c>
    </row>
  </sheetData>
  <mergeCells count="1">
    <mergeCell ref="B2:F2"/>
  </mergeCells>
  <phoneticPr fontId="5" type="noConversion"/>
  <dataValidations count="1">
    <dataValidation type="list" allowBlank="1" showInputMessage="1" showErrorMessage="1" sqref="D4:D1048576 J2" xr:uid="{1BC0B2E6-6BD9-419F-B272-1DE6207E382D}">
      <formula1>IF(C2=" ", " ",INDIRECT(C2))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AddExpenses">
                <anchor moveWithCells="1" sizeWithCells="1">
                  <from>
                    <xdr:col>8</xdr:col>
                    <xdr:colOff>285750</xdr:colOff>
                    <xdr:row>3</xdr:row>
                    <xdr:rowOff>123825</xdr:rowOff>
                  </from>
                  <to>
                    <xdr:col>11</xdr:col>
                    <xdr:colOff>209550</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E60AD2C-B4BB-49D1-87BE-6DDA1168E3E1}">
          <x14:formula1>
            <xm:f>Categories!$B$2:$I$2</xm:f>
          </x14:formula1>
          <xm:sqref>C4:C1048576 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8BB9-12EC-4C27-A9B1-33FD4FCE0D04}">
  <sheetPr codeName="Sheet5"/>
  <dimension ref="A1:J85"/>
  <sheetViews>
    <sheetView zoomScale="54" workbookViewId="0">
      <selection activeCell="N14" sqref="N14"/>
    </sheetView>
  </sheetViews>
  <sheetFormatPr defaultColWidth="8.75" defaultRowHeight="14.25"/>
  <cols>
    <col min="1" max="1" width="8.75" style="12"/>
    <col min="2" max="2" width="10.375" style="53" bestFit="1" customWidth="1"/>
    <col min="3" max="3" width="15.25" style="53" bestFit="1" customWidth="1"/>
    <col min="4" max="4" width="18.25" style="53" bestFit="1" customWidth="1"/>
    <col min="5" max="5" width="15" style="53" bestFit="1" customWidth="1"/>
    <col min="6" max="6" width="8.75" style="12"/>
    <col min="7" max="7" width="29.25" style="12" bestFit="1" customWidth="1"/>
    <col min="8" max="8" width="15.25" style="12" bestFit="1" customWidth="1"/>
    <col min="9" max="9" width="12.25" style="12" bestFit="1" customWidth="1"/>
    <col min="10" max="10" width="13.25" style="12" bestFit="1" customWidth="1"/>
    <col min="11" max="16384" width="8.75" style="12"/>
  </cols>
  <sheetData>
    <row r="1" spans="1:10">
      <c r="B1" s="55"/>
      <c r="C1" s="56"/>
      <c r="D1" s="56"/>
      <c r="E1" s="57"/>
    </row>
    <row r="2" spans="1:10" ht="23.25">
      <c r="B2" s="69" t="s">
        <v>47</v>
      </c>
      <c r="C2" s="70"/>
      <c r="D2" s="70"/>
      <c r="E2" s="70"/>
      <c r="G2" s="58"/>
      <c r="H2" s="13"/>
      <c r="I2" s="13"/>
      <c r="J2" s="59"/>
    </row>
    <row r="3" spans="1:10">
      <c r="B3" s="13" t="s">
        <v>45</v>
      </c>
      <c r="C3" s="13" t="s">
        <v>49</v>
      </c>
      <c r="D3" s="64" t="s">
        <v>90</v>
      </c>
      <c r="E3" s="13" t="s">
        <v>48</v>
      </c>
      <c r="G3" s="13" t="s">
        <v>45</v>
      </c>
      <c r="H3" s="13" t="s">
        <v>49</v>
      </c>
      <c r="I3" s="64" t="s">
        <v>90</v>
      </c>
      <c r="J3" s="13" t="s">
        <v>48</v>
      </c>
    </row>
    <row r="4" spans="1:10">
      <c r="B4" s="52">
        <v>45658</v>
      </c>
      <c r="C4" s="53" t="s">
        <v>54</v>
      </c>
      <c r="D4" s="65" t="s">
        <v>91</v>
      </c>
      <c r="E4" s="54">
        <v>110000</v>
      </c>
    </row>
    <row r="5" spans="1:10">
      <c r="B5" s="52">
        <v>45689</v>
      </c>
      <c r="C5" s="53" t="s">
        <v>54</v>
      </c>
      <c r="D5" s="53" t="s">
        <v>91</v>
      </c>
      <c r="E5" s="54">
        <v>120000</v>
      </c>
    </row>
    <row r="6" spans="1:10">
      <c r="B6" s="52">
        <v>45717</v>
      </c>
      <c r="C6" s="53" t="s">
        <v>54</v>
      </c>
      <c r="D6" s="53" t="s">
        <v>91</v>
      </c>
      <c r="E6" s="54">
        <v>130000</v>
      </c>
    </row>
    <row r="7" spans="1:10">
      <c r="B7" s="52">
        <v>45748</v>
      </c>
      <c r="C7" s="53" t="s">
        <v>54</v>
      </c>
      <c r="D7" s="53" t="s">
        <v>91</v>
      </c>
      <c r="E7" s="54">
        <v>100000</v>
      </c>
    </row>
    <row r="8" spans="1:10">
      <c r="B8" s="52">
        <v>45778</v>
      </c>
      <c r="C8" s="53" t="s">
        <v>54</v>
      </c>
      <c r="D8" s="53" t="s">
        <v>91</v>
      </c>
      <c r="E8" s="54">
        <v>130000</v>
      </c>
    </row>
    <row r="9" spans="1:10">
      <c r="A9" s="12" t="s">
        <v>89</v>
      </c>
      <c r="B9" s="52">
        <v>45809</v>
      </c>
      <c r="C9" s="53" t="s">
        <v>54</v>
      </c>
      <c r="D9" s="53" t="s">
        <v>91</v>
      </c>
      <c r="E9" s="54">
        <v>120000</v>
      </c>
    </row>
    <row r="10" spans="1:10">
      <c r="B10" s="52"/>
      <c r="E10" s="54"/>
    </row>
    <row r="11" spans="1:10">
      <c r="B11" s="52"/>
      <c r="E11" s="54"/>
    </row>
    <row r="12" spans="1:10">
      <c r="B12" s="52"/>
      <c r="E12" s="54"/>
    </row>
    <row r="13" spans="1:10">
      <c r="B13" s="52"/>
      <c r="E13" s="54"/>
    </row>
    <row r="14" spans="1:10">
      <c r="B14" s="52"/>
      <c r="E14" s="54"/>
    </row>
    <row r="15" spans="1:10">
      <c r="B15" s="52"/>
      <c r="E15" s="54"/>
    </row>
    <row r="16" spans="1:10">
      <c r="B16" s="52"/>
      <c r="E16" s="54"/>
    </row>
    <row r="17" spans="2:5">
      <c r="B17" s="52"/>
      <c r="E17" s="54"/>
    </row>
    <row r="18" spans="2:5">
      <c r="B18" s="52"/>
      <c r="E18" s="54"/>
    </row>
    <row r="19" spans="2:5">
      <c r="B19" s="52"/>
      <c r="E19" s="54"/>
    </row>
    <row r="20" spans="2:5">
      <c r="B20" s="52"/>
      <c r="E20" s="54"/>
    </row>
    <row r="21" spans="2:5">
      <c r="B21" s="52"/>
      <c r="E21" s="54"/>
    </row>
    <row r="22" spans="2:5">
      <c r="B22" s="52"/>
      <c r="E22" s="54"/>
    </row>
    <row r="23" spans="2:5">
      <c r="B23" s="52"/>
      <c r="E23" s="54"/>
    </row>
    <row r="24" spans="2:5">
      <c r="B24" s="52"/>
      <c r="E24" s="54"/>
    </row>
    <row r="25" spans="2:5">
      <c r="B25" s="52"/>
      <c r="E25" s="54"/>
    </row>
    <row r="26" spans="2:5">
      <c r="B26" s="52"/>
      <c r="E26" s="54"/>
    </row>
    <row r="27" spans="2:5">
      <c r="B27" s="52"/>
      <c r="E27" s="54"/>
    </row>
    <row r="28" spans="2:5">
      <c r="B28" s="52"/>
      <c r="E28" s="54"/>
    </row>
    <row r="29" spans="2:5">
      <c r="B29" s="52"/>
      <c r="E29" s="54"/>
    </row>
    <row r="30" spans="2:5">
      <c r="B30" s="52"/>
      <c r="E30" s="54"/>
    </row>
    <row r="31" spans="2:5">
      <c r="B31" s="52"/>
      <c r="E31" s="54"/>
    </row>
    <row r="32" spans="2:5">
      <c r="B32" s="52"/>
      <c r="E32" s="54"/>
    </row>
    <row r="33" spans="2:5">
      <c r="B33" s="52"/>
      <c r="E33" s="54"/>
    </row>
    <row r="34" spans="2:5">
      <c r="B34" s="52"/>
      <c r="E34" s="54"/>
    </row>
    <row r="35" spans="2:5">
      <c r="B35" s="52"/>
      <c r="E35" s="54"/>
    </row>
    <row r="36" spans="2:5">
      <c r="B36" s="52"/>
      <c r="E36" s="54"/>
    </row>
    <row r="37" spans="2:5">
      <c r="B37" s="52"/>
      <c r="E37" s="54"/>
    </row>
    <row r="38" spans="2:5">
      <c r="B38" s="52"/>
      <c r="E38" s="54"/>
    </row>
    <row r="39" spans="2:5">
      <c r="B39" s="52"/>
      <c r="E39" s="54"/>
    </row>
    <row r="40" spans="2:5">
      <c r="B40" s="52"/>
      <c r="E40" s="54"/>
    </row>
    <row r="41" spans="2:5">
      <c r="B41" s="52"/>
      <c r="E41" s="54"/>
    </row>
    <row r="42" spans="2:5">
      <c r="B42" s="52"/>
      <c r="E42" s="54"/>
    </row>
    <row r="43" spans="2:5">
      <c r="B43" s="52"/>
      <c r="E43" s="54"/>
    </row>
    <row r="44" spans="2:5">
      <c r="B44" s="52"/>
      <c r="E44" s="54"/>
    </row>
    <row r="45" spans="2:5">
      <c r="B45" s="52"/>
      <c r="E45" s="54"/>
    </row>
    <row r="46" spans="2:5">
      <c r="B46" s="52"/>
      <c r="E46" s="54"/>
    </row>
    <row r="47" spans="2:5">
      <c r="B47" s="52"/>
      <c r="E47" s="54"/>
    </row>
    <row r="48" spans="2:5">
      <c r="B48" s="52"/>
      <c r="E48" s="54"/>
    </row>
    <row r="49" spans="2:5">
      <c r="B49" s="52"/>
      <c r="E49" s="54"/>
    </row>
    <row r="50" spans="2:5">
      <c r="B50" s="52"/>
      <c r="E50" s="54"/>
    </row>
    <row r="51" spans="2:5">
      <c r="B51" s="52"/>
      <c r="E51" s="54"/>
    </row>
    <row r="52" spans="2:5">
      <c r="B52" s="52"/>
      <c r="E52" s="54"/>
    </row>
    <row r="53" spans="2:5">
      <c r="B53" s="52"/>
      <c r="E53" s="54"/>
    </row>
    <row r="54" spans="2:5">
      <c r="B54" s="52"/>
      <c r="E54" s="54"/>
    </row>
    <row r="55" spans="2:5">
      <c r="B55" s="52"/>
      <c r="E55" s="54"/>
    </row>
    <row r="56" spans="2:5">
      <c r="B56" s="52"/>
      <c r="E56" s="54"/>
    </row>
    <row r="57" spans="2:5">
      <c r="B57" s="52"/>
      <c r="E57" s="54"/>
    </row>
    <row r="58" spans="2:5">
      <c r="B58" s="52"/>
      <c r="E58" s="54"/>
    </row>
    <row r="59" spans="2:5">
      <c r="B59" s="52"/>
      <c r="E59" s="54"/>
    </row>
    <row r="60" spans="2:5">
      <c r="B60" s="52"/>
      <c r="E60" s="54"/>
    </row>
    <row r="61" spans="2:5">
      <c r="B61" s="52"/>
      <c r="E61" s="54"/>
    </row>
    <row r="62" spans="2:5">
      <c r="B62" s="52"/>
      <c r="E62" s="54"/>
    </row>
    <row r="63" spans="2:5">
      <c r="B63" s="52"/>
      <c r="E63" s="54"/>
    </row>
    <row r="64" spans="2:5">
      <c r="B64" s="52"/>
      <c r="E64" s="54"/>
    </row>
    <row r="65" spans="2:5">
      <c r="B65" s="52"/>
      <c r="E65" s="54"/>
    </row>
    <row r="66" spans="2:5">
      <c r="B66" s="52"/>
      <c r="E66" s="54"/>
    </row>
    <row r="67" spans="2:5">
      <c r="B67" s="52"/>
      <c r="E67" s="54"/>
    </row>
    <row r="68" spans="2:5">
      <c r="B68" s="52"/>
      <c r="E68" s="54"/>
    </row>
    <row r="69" spans="2:5">
      <c r="B69" s="52"/>
      <c r="E69" s="54"/>
    </row>
    <row r="70" spans="2:5">
      <c r="B70" s="52"/>
      <c r="E70" s="54"/>
    </row>
    <row r="71" spans="2:5">
      <c r="B71" s="52"/>
      <c r="E71" s="54"/>
    </row>
    <row r="72" spans="2:5">
      <c r="B72" s="52"/>
      <c r="E72" s="54"/>
    </row>
    <row r="73" spans="2:5">
      <c r="B73" s="52"/>
      <c r="E73" s="54"/>
    </row>
    <row r="74" spans="2:5">
      <c r="B74" s="52"/>
      <c r="E74" s="54"/>
    </row>
    <row r="75" spans="2:5">
      <c r="B75" s="52"/>
      <c r="E75" s="54"/>
    </row>
    <row r="76" spans="2:5">
      <c r="B76" s="52"/>
      <c r="E76" s="54"/>
    </row>
    <row r="77" spans="2:5">
      <c r="B77" s="52"/>
      <c r="E77" s="54"/>
    </row>
    <row r="78" spans="2:5">
      <c r="B78" s="52"/>
      <c r="E78" s="54"/>
    </row>
    <row r="79" spans="2:5">
      <c r="B79" s="52"/>
      <c r="E79" s="54"/>
    </row>
    <row r="80" spans="2:5">
      <c r="B80" s="52"/>
      <c r="E80" s="54"/>
    </row>
    <row r="81" spans="2:5">
      <c r="B81" s="52"/>
      <c r="E81" s="54"/>
    </row>
    <row r="82" spans="2:5">
      <c r="B82" s="52"/>
      <c r="E82" s="54"/>
    </row>
    <row r="83" spans="2:5">
      <c r="B83" s="52"/>
      <c r="E83" s="54"/>
    </row>
    <row r="84" spans="2:5">
      <c r="B84" s="52"/>
      <c r="E84" s="54"/>
    </row>
    <row r="85" spans="2:5">
      <c r="B85" s="52"/>
      <c r="E85" s="54"/>
    </row>
  </sheetData>
  <mergeCells count="1">
    <mergeCell ref="B2:E2"/>
  </mergeCells>
  <dataValidations count="1">
    <dataValidation type="list" allowBlank="1" showInputMessage="1" showErrorMessage="1" sqref="I2" xr:uid="{EFD96191-0818-49B8-A9D9-F5875E5EF89E}">
      <formula1>"Cash, Check, Bank Transfer"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Addincome">
                <anchor moveWithCells="1" sizeWithCells="1">
                  <from>
                    <xdr:col>6</xdr:col>
                    <xdr:colOff>847725</xdr:colOff>
                    <xdr:row>3</xdr:row>
                    <xdr:rowOff>95250</xdr:rowOff>
                  </from>
                  <to>
                    <xdr:col>8</xdr:col>
                    <xdr:colOff>742950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A603464-D063-49A2-AF8E-25B9CB53B7E6}">
          <x14:formula1>
            <xm:f>Categories!$J$3:$J$1048576</xm:f>
          </x14:formula1>
          <xm:sqref>H2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5AB32-E54B-403D-83C7-1EABFD5B34AD}">
  <sheetPr codeName="Sheet3"/>
  <dimension ref="A1:Q35"/>
  <sheetViews>
    <sheetView zoomScale="69" zoomScaleNormal="70" workbookViewId="0">
      <selection activeCell="U25" sqref="U25"/>
    </sheetView>
  </sheetViews>
  <sheetFormatPr defaultColWidth="8.75" defaultRowHeight="15"/>
  <cols>
    <col min="1" max="1" width="18.375" style="38" bestFit="1" customWidth="1"/>
    <col min="2" max="2" width="14.25" style="38" bestFit="1" customWidth="1"/>
    <col min="3" max="3" width="22.125" style="38" bestFit="1" customWidth="1"/>
    <col min="4" max="4" width="15.25" style="38" bestFit="1" customWidth="1"/>
    <col min="5" max="5" width="14.625" style="38" bestFit="1" customWidth="1"/>
    <col min="6" max="6" width="8.75" style="38"/>
    <col min="7" max="7" width="18.375" style="38" bestFit="1" customWidth="1"/>
    <col min="8" max="8" width="14.625" style="38" bestFit="1" customWidth="1"/>
    <col min="9" max="9" width="22.125" style="38" bestFit="1" customWidth="1"/>
    <col min="10" max="10" width="15.25" style="38" bestFit="1" customWidth="1"/>
    <col min="11" max="11" width="13.875" style="38" bestFit="1" customWidth="1"/>
    <col min="12" max="12" width="8.75" style="38"/>
    <col min="13" max="13" width="18.375" style="38" bestFit="1" customWidth="1"/>
    <col min="14" max="14" width="14.625" style="38" bestFit="1" customWidth="1"/>
    <col min="15" max="15" width="22.125" style="38" bestFit="1" customWidth="1"/>
    <col min="16" max="16" width="15.25" style="38" bestFit="1" customWidth="1"/>
    <col min="17" max="17" width="13.875" style="38" bestFit="1" customWidth="1"/>
    <col min="18" max="16384" width="8.75" style="38"/>
  </cols>
  <sheetData>
    <row r="1" spans="1:17" ht="30">
      <c r="A1" s="72" t="s">
        <v>72</v>
      </c>
      <c r="B1" s="72"/>
      <c r="C1" s="72"/>
      <c r="D1" s="72"/>
      <c r="E1" s="72"/>
      <c r="F1" s="72"/>
      <c r="G1" s="72"/>
      <c r="H1" s="72"/>
      <c r="I1" s="72"/>
      <c r="J1" s="72"/>
      <c r="K1" s="72"/>
      <c r="L1" s="72"/>
      <c r="M1" s="72"/>
      <c r="N1" s="72"/>
      <c r="O1" s="72"/>
      <c r="P1" s="72"/>
      <c r="Q1" s="72"/>
    </row>
    <row r="4" spans="1:17" ht="28.5" thickBot="1">
      <c r="A4" s="71" t="s">
        <v>42</v>
      </c>
      <c r="B4" s="71"/>
      <c r="C4" s="71"/>
      <c r="D4" s="71"/>
      <c r="E4" s="71"/>
      <c r="G4" s="71" t="s">
        <v>43</v>
      </c>
      <c r="H4" s="71"/>
      <c r="I4" s="71"/>
      <c r="J4" s="71"/>
      <c r="K4" s="71"/>
      <c r="M4" s="71" t="s">
        <v>44</v>
      </c>
      <c r="N4" s="71"/>
      <c r="O4" s="71"/>
      <c r="P4" s="71"/>
      <c r="Q4" s="71"/>
    </row>
    <row r="5" spans="1:17" ht="18" thickBot="1">
      <c r="A5" s="14" t="s">
        <v>68</v>
      </c>
      <c r="B5" s="37">
        <f ca="1">SUM(B7:B1048576)</f>
        <v>110000</v>
      </c>
      <c r="C5" s="15" t="s">
        <v>69</v>
      </c>
      <c r="D5" s="35">
        <f ca="1">SUM(D7:D1048576)</f>
        <v>76486</v>
      </c>
      <c r="E5" s="36">
        <f ca="1">SUM(E7:E1048576)</f>
        <v>108322.74807947454</v>
      </c>
      <c r="G5" s="14" t="s">
        <v>68</v>
      </c>
      <c r="H5" s="16">
        <f ca="1">SUM(H7:H1048576)</f>
        <v>120000</v>
      </c>
      <c r="I5" s="15" t="s">
        <v>69</v>
      </c>
      <c r="J5" s="35">
        <f ca="1">SUM(J7:J1048576)</f>
        <v>50438</v>
      </c>
      <c r="K5" s="35">
        <f ca="1">SUM(K7:K1048576)</f>
        <v>93247.748079474535</v>
      </c>
      <c r="M5" s="14" t="s">
        <v>68</v>
      </c>
      <c r="N5" s="37">
        <f ca="1">SUM(N7:N1048576)</f>
        <v>130000</v>
      </c>
      <c r="O5" s="15" t="s">
        <v>69</v>
      </c>
      <c r="P5" s="35">
        <f ca="1">SUM(P7:P1048576)</f>
        <v>66514</v>
      </c>
      <c r="Q5" s="35">
        <f ca="1">SUM(Q7:Q1048576)</f>
        <v>85050.748079474535</v>
      </c>
    </row>
    <row r="6" spans="1:17" ht="15.75" thickBot="1">
      <c r="A6" s="32" t="s">
        <v>51</v>
      </c>
      <c r="B6" s="33"/>
      <c r="C6" s="33" t="s">
        <v>50</v>
      </c>
      <c r="D6" s="33" t="s">
        <v>70</v>
      </c>
      <c r="E6" s="34" t="s">
        <v>71</v>
      </c>
      <c r="G6" s="17" t="s">
        <v>51</v>
      </c>
      <c r="H6" s="18"/>
      <c r="I6" s="18" t="s">
        <v>50</v>
      </c>
      <c r="J6" s="33" t="s">
        <v>70</v>
      </c>
      <c r="K6" s="34" t="s">
        <v>71</v>
      </c>
      <c r="M6" s="17" t="s">
        <v>51</v>
      </c>
      <c r="N6" s="18"/>
      <c r="O6" s="18" t="s">
        <v>50</v>
      </c>
      <c r="P6" s="18"/>
      <c r="Q6" s="19"/>
    </row>
    <row r="7" spans="1:17">
      <c r="A7" s="20" t="str" cm="1">
        <f t="array" aca="1" ref="A7:A10" ca="1">OFFSET(Categories!J3:J22,0,0,COUNTA(Categories!J3:J18),1)</f>
        <v>Dividend</v>
      </c>
      <c r="B7" s="22">
        <f ca="1">SUMIFS(Income!$E$4:$E$1048576,Income!$C$4:$C$1048576, 'Jan - March Budget'!A7,Income!$B$4:$B$1048576, "&gt;=" &amp; DATE(YEAR(TODAY()),1,1),Income!$B$4:$B$1048576, "&lt;=" &amp; DATE(YEAR(TODAY()),1,31))</f>
        <v>0</v>
      </c>
      <c r="C7" s="21" t="str" cm="1">
        <f t="array" ref="C7:C35">_xlfn._xlws.FILTER(_xlfn.VSTACK(Categories!$B$3:$B$20,Categories!$C$3:$C$22,Categories!$D$3:$D$22,Categories!$E$3:$E$21,Categories!$F$3:$F$20,Categories!$G$3:$G$20,Categories!$H$3:$H$22,Categories!$I$3:$I$21),_xlfn.VSTACK(Categories!$B$3:$B$20,Categories!$C$3:$C$22,Categories!$D$3:$D$22,Categories!$E$3:$E$21,Categories!$F$3:$F$20,Categories!$G$3:$G$20,Categories!$H$3:$H$22,Categories!$I$3:$I$21)&lt;&gt;"")</f>
        <v>Rent</v>
      </c>
      <c r="D7" s="22">
        <f ca="1">SUMIFS('All Expenses'!$E$4:$E$1048576,'All Expenses'!$D$4:$D$1048576,'Jan - March Budget'!C7,'All Expenses'!$B$4:$B$1048576, "&gt;=" &amp; DATE(YEAR(TODAY()),1,1),'All Expenses'!$B$4:$B$1048576, "&lt;=" &amp; DATE(YEAR(TODAY()),1,31))</f>
        <v>7708</v>
      </c>
      <c r="E7" s="23">
        <f ca="1">SUMIFS('All Expenses'!$F$4:$F$1048576,'All Expenses'!$D$4:$D$1048576,'Jan - March Budget'!C7,'All Expenses'!$B$4:$B$1048576, "&gt;=" &amp; DATE(YEAR(TODAY()),1,1),'All Expenses'!$B$4:$B$1048576, "&lt;=" &amp; DATE(YEAR(TODAY()),1,31))</f>
        <v>6645</v>
      </c>
      <c r="G7" s="20" t="str" cm="1">
        <f t="array" aca="1" ref="G7:G10" ca="1">OFFSET(Categories!$J$3:$J$22,0,0,COUNTA(Categories!$J$3:$J$18),1)</f>
        <v>Dividend</v>
      </c>
      <c r="H7" s="22">
        <f ca="1">SUMIFS(Income!$E$4:$E$1048576,Income!$C$4:$C$1048576, 'Jan - March Budget'!G7,Income!$B$4:$B$1048576, "&gt;=" &amp; DATE(YEAR(TODAY()),2,1),Income!$B$4:$B$1048576, "&lt;=" &amp; DATE(YEAR(TODAY()),2,28))</f>
        <v>0</v>
      </c>
      <c r="I7" s="21" t="str" cm="1">
        <f t="array" ref="I7:I35">_xlfn._xlws.FILTER(_xlfn.VSTACK(Categories!$B$3:$B$20,Categories!$C$3:$C$22,Categories!$D$3:$D$22,Categories!$E$3:$E$21,Categories!$F$3:$F$20,Categories!$G$3:$G$20,Categories!$H$3:$H$22,Categories!$I$3:$I$21),_xlfn.VSTACK(Categories!$B$3:$B$20,Categories!$C$3:$C$22,Categories!$D$3:$D$22,Categories!$E$3:$E$21,Categories!$F$3:$F$20,Categories!$G$3:$G$20,Categories!$H$3:$H$22,Categories!$I$3:$I$21)&lt;&gt;"")</f>
        <v>Rent</v>
      </c>
      <c r="J7" s="22">
        <f ca="1">SUMIFS('All Expenses'!$E$4:$E$1048576,'All Expenses'!$D$4:$D$1048576,'Jan - March Budget'!I7,'All Expenses'!$B$4:$B$1048576, "&gt;=" &amp; DATE(YEAR(TODAY()),2,1),'All Expenses'!$B$4:$B$1048576, "&lt;=" &amp; DATE(YEAR(TODAY()),2,28))</f>
        <v>1773</v>
      </c>
      <c r="K7" s="23">
        <f ca="1">SUMIFS('All Expenses'!$F$4:$F$1048576,'All Expenses'!$D$4:$D$1048576,'Jan - March Budget'!I7,'All Expenses'!$B$4:$B$1048576, "&gt;=" &amp; DATE(YEAR(TODAY()),2,1),'All Expenses'!$B$4:$B$1048576, "&lt;=" &amp; DATE(YEAR(TODAY()),2,28))</f>
        <v>7291</v>
      </c>
      <c r="M7" s="20" t="str" cm="1">
        <f t="array" aca="1" ref="M7:M10" ca="1">OFFSET(Categories!$J$3:$J$22,0,0,COUNTA(Categories!$J$3:$J$18),1)</f>
        <v>Dividend</v>
      </c>
      <c r="N7" s="22">
        <f ca="1">SUMIFS(Income!$E$4:$E$1048576,Income!$C$4:$C$1048576, 'Jan - March Budget'!M7,Income!$B$4:$B$1048576, "&gt;=" &amp; DATE(YEAR(TODAY()),3,1),Income!$B$4:$B$1048576, "&lt;=" &amp; DATE(YEAR(TODAY()),3,31))</f>
        <v>0</v>
      </c>
      <c r="O7" s="21" t="str" cm="1">
        <f t="array" ref="O7:O35">_xlfn._xlws.FILTER(_xlfn.VSTACK(Categories!$B$3:$B$20,Categories!$C$3:$C$22,Categories!$D$3:$D$22,Categories!$E$3:$E$21,Categories!$F$3:$F$20,Categories!$G$3:$G$20,Categories!$H$3:$H$22,Categories!$I$3:$I$21),_xlfn.VSTACK(Categories!$B$3:$B$20,Categories!$C$3:$C$22,Categories!$D$3:$D$22,Categories!$E$3:$E$21,Categories!$F$3:$F$20,Categories!$G$3:$G$20,Categories!$H$3:$H$22,Categories!$I$3:$I$21)&lt;&gt;"")</f>
        <v>Rent</v>
      </c>
      <c r="P7" s="22">
        <f ca="1">SUMIFS('All Expenses'!$E$4:$E$1048576,'All Expenses'!$D$4:$D$1048576,'Jan - March Budget'!O7,'All Expenses'!$B$4:$B$1048576, "&gt;=" &amp; DATE(YEAR(TODAY()),3,1),'All Expenses'!$B$4:$B$1048576, "&lt;=" &amp; DATE(YEAR(TODAY()),3,30))</f>
        <v>630</v>
      </c>
      <c r="Q7" s="23">
        <f ca="1">SUMIFS('All Expenses'!$F$4:$F$1048576,'All Expenses'!$D$4:$D$1048576,'Jan - March Budget'!O7,'All Expenses'!$B$4:$B$1048576, "&gt;=" &amp; DATE(YEAR(TODAY()),3,1),'All Expenses'!$B$4:$B$1048576, "&lt;=" &amp; DATE(YEAR(TODAY()),3,31))</f>
        <v>2392</v>
      </c>
    </row>
    <row r="8" spans="1:17">
      <c r="A8" s="24" t="str">
        <f ca="1"/>
        <v>Salary</v>
      </c>
      <c r="B8" s="26">
        <f ca="1">SUMIFS(Income!$E$4:$E$1048576,Income!$C$4:$C$1048576, 'Jan - March Budget'!A8,Income!$B$4:$B$1048576, "&gt;=" &amp; DATE(YEAR(TODAY()),1,1),Income!$B$4:$B$1048576, "&lt;=" &amp; DATE(YEAR(TODAY()),1,31))</f>
        <v>110000</v>
      </c>
      <c r="C8" s="25" t="str">
        <v>Mortgage Payments</v>
      </c>
      <c r="D8" s="26">
        <f ca="1">SUMIFS('All Expenses'!$E$4:$E$1048576,'All Expenses'!$D$4:$D$1048576,'Jan - March Budget'!C8,'All Expenses'!$B$4:$B$1048576, "&gt;=" &amp; DATE(YEAR(TODAY()),1,1),'All Expenses'!$B$4:$B$1048576, "&lt;=" &amp; DATE(YEAR(TODAY()),1,31))</f>
        <v>7851</v>
      </c>
      <c r="E8" s="27">
        <f ca="1">SUMIFS('All Expenses'!$F$4:$F$1048576,'All Expenses'!$D$4:$D$1048576,'Jan - March Budget'!C8,'All Expenses'!$B$4:$B$1048576, "&gt;=" &amp; DATE(YEAR(TODAY()),1,1),'All Expenses'!$B$4:$B$1048576, "&lt;=" &amp; DATE(YEAR(TODAY()),1,31))</f>
        <v>8218</v>
      </c>
      <c r="G8" s="24" t="str">
        <f ca="1"/>
        <v>Salary</v>
      </c>
      <c r="H8" s="26">
        <f ca="1">SUMIFS(Income!$E$4:$E$1048576,Income!$C$4:$C$1048576, 'Jan - March Budget'!G8,Income!$B$4:$B$1048576, "&gt;=" &amp; DATE(YEAR(TODAY()),2,1),Income!$B$4:$B$1048576, "&lt;=" &amp; DATE(YEAR(TODAY()),2,28))</f>
        <v>120000</v>
      </c>
      <c r="I8" s="25" t="str">
        <v>Mortgage Payments</v>
      </c>
      <c r="J8" s="26">
        <f ca="1">SUMIFS('All Expenses'!$E$4:$E$1048576,'All Expenses'!$D$4:$D$1048576,'Jan - March Budget'!I8,'All Expenses'!$B$4:$B$1048576, "&gt;=" &amp; DATE(YEAR(TODAY()),2,1),'All Expenses'!$B$4:$B$1048576, "&lt;=" &amp; DATE(YEAR(TODAY()),2,28))</f>
        <v>4821</v>
      </c>
      <c r="K8" s="27">
        <f ca="1">SUMIFS('All Expenses'!$F$4:$F$1048576,'All Expenses'!$D$4:$D$1048576,'Jan - March Budget'!I8,'All Expenses'!$B$4:$B$1048576, "&gt;=" &amp; DATE(YEAR(TODAY()),2,1),'All Expenses'!$B$4:$B$1048576, "&lt;=" &amp; DATE(YEAR(TODAY()),2,28))</f>
        <v>5344</v>
      </c>
      <c r="M8" s="24" t="str">
        <f ca="1"/>
        <v>Salary</v>
      </c>
      <c r="N8" s="26">
        <f ca="1">SUMIFS(Income!$E$4:$E$1048576,Income!$C$4:$C$1048576, 'Jan - March Budget'!M8,Income!$B$4:$B$1048576, "&gt;=" &amp; DATE(YEAR(TODAY()),3,1),Income!$B$4:$B$1048576, "&lt;=" &amp; DATE(YEAR(TODAY()),3,31))</f>
        <v>130000</v>
      </c>
      <c r="O8" s="25" t="str">
        <v>Mortgage Payments</v>
      </c>
      <c r="P8" s="26">
        <f ca="1">SUMIFS('All Expenses'!$E$4:$E$1048576,'All Expenses'!$D$4:$D$1048576,'Jan - March Budget'!O8,'All Expenses'!$B$4:$B$1048576, "&gt;=" &amp; DATE(YEAR(TODAY()),3,1),'All Expenses'!$B$4:$B$1048576, "&lt;=" &amp; DATE(YEAR(TODAY()),3,30))</f>
        <v>1959</v>
      </c>
      <c r="Q8" s="27">
        <f ca="1">SUMIFS('All Expenses'!$F$4:$F$1048576,'All Expenses'!$D$4:$D$1048576,'Jan - March Budget'!O8,'All Expenses'!$B$4:$B$1048576, "&gt;=" &amp; DATE(YEAR(TODAY()),3,1),'All Expenses'!$B$4:$B$1048576, "&lt;=" &amp; DATE(YEAR(TODAY()),3,31))</f>
        <v>7770</v>
      </c>
    </row>
    <row r="9" spans="1:17">
      <c r="A9" s="24" t="str">
        <f ca="1"/>
        <v>Wages</v>
      </c>
      <c r="B9" s="26">
        <f ca="1">SUMIFS(Income!$E$4:$E$1048576,Income!$C$4:$C$1048576, 'Jan - March Budget'!A9,Income!$B$4:$B$1048576, "&gt;=" &amp; DATE(YEAR(TODAY()),1,1),Income!$B$4:$B$1048576, "&lt;=" &amp; DATE(YEAR(TODAY()),1,31))</f>
        <v>0</v>
      </c>
      <c r="C9" s="25" t="str">
        <v>Public Transport</v>
      </c>
      <c r="D9" s="26">
        <f ca="1">SUMIFS('All Expenses'!$E$4:$E$1048576,'All Expenses'!$D$4:$D$1048576,'Jan - March Budget'!C9,'All Expenses'!$B$4:$B$1048576, "&gt;=" &amp; DATE(YEAR(TODAY()),1,1),'All Expenses'!$B$4:$B$1048576, "&lt;=" &amp; DATE(YEAR(TODAY()),1,31))</f>
        <v>0</v>
      </c>
      <c r="E9" s="27">
        <f ca="1">SUMIFS('All Expenses'!$F$4:$F$1048576,'All Expenses'!$D$4:$D$1048576,'Jan - March Budget'!C9,'All Expenses'!$B$4:$B$1048576, "&gt;=" &amp; DATE(YEAR(TODAY()),1,1),'All Expenses'!$B$4:$B$1048576, "&lt;=" &amp; DATE(YEAR(TODAY()),1,31))</f>
        <v>0</v>
      </c>
      <c r="G9" s="24" t="str">
        <f ca="1"/>
        <v>Wages</v>
      </c>
      <c r="H9" s="26">
        <f ca="1">SUMIFS(Income!$E$4:$E$1048576,Income!$C$4:$C$1048576, 'Jan - March Budget'!G9,Income!$B$4:$B$1048576, "&gt;=" &amp; DATE(YEAR(TODAY()),2,1),Income!$B$4:$B$1048576, "&lt;=" &amp; DATE(YEAR(TODAY()),2,28))</f>
        <v>0</v>
      </c>
      <c r="I9" s="25" t="str">
        <v>Public Transport</v>
      </c>
      <c r="J9" s="26">
        <f ca="1">SUMIFS('All Expenses'!$E$4:$E$1048576,'All Expenses'!$D$4:$D$1048576,'Jan - March Budget'!I9,'All Expenses'!$B$4:$B$1048576, "&gt;=" &amp; DATE(YEAR(TODAY()),2,1),'All Expenses'!$B$4:$B$1048576, "&lt;=" &amp; DATE(YEAR(TODAY()),2,28))</f>
        <v>4716</v>
      </c>
      <c r="K9" s="27">
        <f ca="1">SUMIFS('All Expenses'!$F$4:$F$1048576,'All Expenses'!$D$4:$D$1048576,'Jan - March Budget'!I9,'All Expenses'!$B$4:$B$1048576, "&gt;=" &amp; DATE(YEAR(TODAY()),2,1),'All Expenses'!$B$4:$B$1048576, "&lt;=" &amp; DATE(YEAR(TODAY()),2,28))</f>
        <v>8463</v>
      </c>
      <c r="M9" s="24" t="str">
        <f ca="1"/>
        <v>Wages</v>
      </c>
      <c r="N9" s="26">
        <f ca="1">SUMIFS(Income!$E$4:$E$1048576,Income!$C$4:$C$1048576, 'Jan - March Budget'!M9,Income!$B$4:$B$1048576, "&gt;=" &amp; DATE(YEAR(TODAY()),3,1),Income!$B$4:$B$1048576, "&lt;=" &amp; DATE(YEAR(TODAY()),3,31))</f>
        <v>0</v>
      </c>
      <c r="O9" s="25" t="str">
        <v>Public Transport</v>
      </c>
      <c r="P9" s="26">
        <f ca="1">SUMIFS('All Expenses'!$E$4:$E$1048576,'All Expenses'!$D$4:$D$1048576,'Jan - March Budget'!O9,'All Expenses'!$B$4:$B$1048576, "&gt;=" &amp; DATE(YEAR(TODAY()),3,1),'All Expenses'!$B$4:$B$1048576, "&lt;=" &amp; DATE(YEAR(TODAY()),3,30))</f>
        <v>9652</v>
      </c>
      <c r="Q9" s="27">
        <f ca="1">SUMIFS('All Expenses'!$F$4:$F$1048576,'All Expenses'!$D$4:$D$1048576,'Jan - March Budget'!O9,'All Expenses'!$B$4:$B$1048576, "&gt;=" &amp; DATE(YEAR(TODAY()),3,1),'All Expenses'!$B$4:$B$1048576, "&lt;=" &amp; DATE(YEAR(TODAY()),3,31))</f>
        <v>6387</v>
      </c>
    </row>
    <row r="10" spans="1:17">
      <c r="A10" s="24" t="str">
        <f ca="1"/>
        <v>Other</v>
      </c>
      <c r="B10" s="26">
        <f ca="1">SUMIFS(Income!$E$4:$E$1048576,Income!$C$4:$C$1048576, 'Jan - March Budget'!A10,Income!$B$4:$B$1048576, "&gt;=" &amp; DATE(YEAR(TODAY()),1,1),Income!$B$4:$B$1048576, "&lt;=" &amp; DATE(YEAR(TODAY()),1,31))</f>
        <v>0</v>
      </c>
      <c r="C10" s="25" t="str">
        <v>Vehicle Registration</v>
      </c>
      <c r="D10" s="26">
        <f ca="1">SUMIFS('All Expenses'!$E$4:$E$1048576,'All Expenses'!$D$4:$D$1048576,'Jan - March Budget'!C10,'All Expenses'!$B$4:$B$1048576, "&gt;=" &amp; DATE(YEAR(TODAY()),1,1),'All Expenses'!$B$4:$B$1048576, "&lt;=" &amp; DATE(YEAR(TODAY()),1,31))</f>
        <v>0</v>
      </c>
      <c r="E10" s="27">
        <f ca="1">SUMIFS('All Expenses'!$F$4:$F$1048576,'All Expenses'!$D$4:$D$1048576,'Jan - March Budget'!C10,'All Expenses'!$B$4:$B$1048576, "&gt;=" &amp; DATE(YEAR(TODAY()),1,1),'All Expenses'!$B$4:$B$1048576, "&lt;=" &amp; DATE(YEAR(TODAY()),1,31))</f>
        <v>0</v>
      </c>
      <c r="G10" s="24" t="str">
        <f ca="1"/>
        <v>Other</v>
      </c>
      <c r="H10" s="26">
        <f ca="1">SUMIFS(Income!$E$4:$E$1048576,Income!$C$4:$C$1048576, 'Jan - March Budget'!G10,Income!$B$4:$B$1048576, "&gt;=" &amp; DATE(YEAR(TODAY()),2,1),Income!$B$4:$B$1048576, "&lt;=" &amp; DATE(YEAR(TODAY()),2,28))</f>
        <v>0</v>
      </c>
      <c r="I10" s="25" t="str">
        <v>Vehicle Registration</v>
      </c>
      <c r="J10" s="26">
        <f ca="1">SUMIFS('All Expenses'!$E$4:$E$1048576,'All Expenses'!$D$4:$D$1048576,'Jan - March Budget'!I10,'All Expenses'!$B$4:$B$1048576, "&gt;=" &amp; DATE(YEAR(TODAY()),2,1),'All Expenses'!$B$4:$B$1048576, "&lt;=" &amp; DATE(YEAR(TODAY()),2,28))</f>
        <v>0</v>
      </c>
      <c r="K10" s="27">
        <f ca="1">SUMIFS('All Expenses'!$F$4:$F$1048576,'All Expenses'!$D$4:$D$1048576,'Jan - March Budget'!I10,'All Expenses'!$B$4:$B$1048576, "&gt;=" &amp; DATE(YEAR(TODAY()),2,1),'All Expenses'!$B$4:$B$1048576, "&lt;=" &amp; DATE(YEAR(TODAY()),2,28))</f>
        <v>0</v>
      </c>
      <c r="M10" s="24" t="str">
        <f ca="1"/>
        <v>Other</v>
      </c>
      <c r="N10" s="26">
        <f ca="1">SUMIFS(Income!$E$4:$E$1048576,Income!$C$4:$C$1048576, 'Jan - March Budget'!M10,Income!$B$4:$B$1048576, "&gt;=" &amp; DATE(YEAR(TODAY()),3,1),Income!$B$4:$B$1048576, "&lt;=" &amp; DATE(YEAR(TODAY()),3,31))</f>
        <v>0</v>
      </c>
      <c r="O10" s="25" t="str">
        <v>Vehicle Registration</v>
      </c>
      <c r="P10" s="26">
        <f ca="1">SUMIFS('All Expenses'!$E$4:$E$1048576,'All Expenses'!$D$4:$D$1048576,'Jan - March Budget'!O10,'All Expenses'!$B$4:$B$1048576, "&gt;=" &amp; DATE(YEAR(TODAY()),3,1),'All Expenses'!$B$4:$B$1048576, "&lt;=" &amp; DATE(YEAR(TODAY()),3,30))</f>
        <v>2859</v>
      </c>
      <c r="Q10" s="27">
        <f ca="1">SUMIFS('All Expenses'!$F$4:$F$1048576,'All Expenses'!$D$4:$D$1048576,'Jan - March Budget'!O10,'All Expenses'!$B$4:$B$1048576, "&gt;=" &amp; DATE(YEAR(TODAY()),3,1),'All Expenses'!$B$4:$B$1048576, "&lt;=" &amp; DATE(YEAR(TODAY()),3,31))</f>
        <v>947</v>
      </c>
    </row>
    <row r="11" spans="1:17">
      <c r="A11" s="24"/>
      <c r="B11" s="26"/>
      <c r="C11" s="25" t="str">
        <v>Fuel</v>
      </c>
      <c r="D11" s="26">
        <f ca="1">SUMIFS('All Expenses'!$E$4:$E$1048576,'All Expenses'!$D$4:$D$1048576,'Jan - March Budget'!C11,'All Expenses'!$B$4:$B$1048576, "&gt;=" &amp; DATE(YEAR(TODAY()),1,1),'All Expenses'!$B$4:$B$1048576, "&lt;=" &amp; DATE(YEAR(TODAY()),1,31))</f>
        <v>1527</v>
      </c>
      <c r="E11" s="27">
        <f ca="1">SUMIFS('All Expenses'!$F$4:$F$1048576,'All Expenses'!$D$4:$D$1048576,'Jan - March Budget'!C11,'All Expenses'!$B$4:$B$1048576, "&gt;=" &amp; DATE(YEAR(TODAY()),1,1),'All Expenses'!$B$4:$B$1048576, "&lt;=" &amp; DATE(YEAR(TODAY()),1,31))</f>
        <v>5109</v>
      </c>
      <c r="G11" s="24"/>
      <c r="H11" s="26"/>
      <c r="I11" s="25" t="str">
        <v>Fuel</v>
      </c>
      <c r="J11" s="26">
        <f ca="1">SUMIFS('All Expenses'!$E$4:$E$1048576,'All Expenses'!$D$4:$D$1048576,'Jan - March Budget'!I11,'All Expenses'!$B$4:$B$1048576, "&gt;=" &amp; DATE(YEAR(TODAY()),2,1),'All Expenses'!$B$4:$B$1048576, "&lt;=" &amp; DATE(YEAR(TODAY()),2,28))</f>
        <v>100</v>
      </c>
      <c r="K11" s="27">
        <f ca="1">SUMIFS('All Expenses'!$F$4:$F$1048576,'All Expenses'!$D$4:$D$1048576,'Jan - March Budget'!I11,'All Expenses'!$B$4:$B$1048576, "&gt;=" &amp; DATE(YEAR(TODAY()),2,1),'All Expenses'!$B$4:$B$1048576, "&lt;=" &amp; DATE(YEAR(TODAY()),2,28))</f>
        <v>70</v>
      </c>
      <c r="M11" s="24"/>
      <c r="N11" s="26"/>
      <c r="O11" s="25" t="str">
        <v>Fuel</v>
      </c>
      <c r="P11" s="26">
        <f ca="1">SUMIFS('All Expenses'!$E$4:$E$1048576,'All Expenses'!$D$4:$D$1048576,'Jan - March Budget'!O11,'All Expenses'!$B$4:$B$1048576, "&gt;=" &amp; DATE(YEAR(TODAY()),3,1),'All Expenses'!$B$4:$B$1048576, "&lt;=" &amp; DATE(YEAR(TODAY()),3,30))</f>
        <v>0</v>
      </c>
      <c r="Q11" s="27">
        <f ca="1">SUMIFS('All Expenses'!$F$4:$F$1048576,'All Expenses'!$D$4:$D$1048576,'Jan - March Budget'!O11,'All Expenses'!$B$4:$B$1048576, "&gt;=" &amp; DATE(YEAR(TODAY()),3,1),'All Expenses'!$B$4:$B$1048576, "&lt;=" &amp; DATE(YEAR(TODAY()),3,31))</f>
        <v>0</v>
      </c>
    </row>
    <row r="12" spans="1:17">
      <c r="A12" s="24"/>
      <c r="B12" s="25"/>
      <c r="C12" s="25" t="str">
        <v>Running Cost</v>
      </c>
      <c r="D12" s="26">
        <f ca="1">SUMIFS('All Expenses'!$E$4:$E$1048576,'All Expenses'!$D$4:$D$1048576,'Jan - March Budget'!C12,'All Expenses'!$B$4:$B$1048576, "&gt;=" &amp; DATE(YEAR(TODAY()),1,1),'All Expenses'!$B$4:$B$1048576, "&lt;=" &amp; DATE(YEAR(TODAY()),1,31))</f>
        <v>0</v>
      </c>
      <c r="E12" s="27">
        <f ca="1">SUMIFS('All Expenses'!$F$4:$F$1048576,'All Expenses'!$D$4:$D$1048576,'Jan - March Budget'!C12,'All Expenses'!$B$4:$B$1048576, "&gt;=" &amp; DATE(YEAR(TODAY()),1,1),'All Expenses'!$B$4:$B$1048576, "&lt;=" &amp; DATE(YEAR(TODAY()),1,31))</f>
        <v>0</v>
      </c>
      <c r="G12" s="24"/>
      <c r="H12" s="26"/>
      <c r="I12" s="25" t="str">
        <v>Running Cost</v>
      </c>
      <c r="J12" s="26">
        <f ca="1">SUMIFS('All Expenses'!$E$4:$E$1048576,'All Expenses'!$D$4:$D$1048576,'Jan - March Budget'!I12,'All Expenses'!$B$4:$B$1048576, "&gt;=" &amp; DATE(YEAR(TODAY()),2,1),'All Expenses'!$B$4:$B$1048576, "&lt;=" &amp; DATE(YEAR(TODAY()),2,28))</f>
        <v>8857</v>
      </c>
      <c r="K12" s="27">
        <f ca="1">SUMIFS('All Expenses'!$F$4:$F$1048576,'All Expenses'!$D$4:$D$1048576,'Jan - March Budget'!I12,'All Expenses'!$B$4:$B$1048576, "&gt;=" &amp; DATE(YEAR(TODAY()),2,1),'All Expenses'!$B$4:$B$1048576, "&lt;=" &amp; DATE(YEAR(TODAY()),2,28))</f>
        <v>7511</v>
      </c>
      <c r="M12" s="24"/>
      <c r="N12" s="26"/>
      <c r="O12" s="25" t="str">
        <v>Running Cost</v>
      </c>
      <c r="P12" s="26">
        <f ca="1">SUMIFS('All Expenses'!$E$4:$E$1048576,'All Expenses'!$D$4:$D$1048576,'Jan - March Budget'!O12,'All Expenses'!$B$4:$B$1048576, "&gt;=" &amp; DATE(YEAR(TODAY()),3,1),'All Expenses'!$B$4:$B$1048576, "&lt;=" &amp; DATE(YEAR(TODAY()),3,30))</f>
        <v>0</v>
      </c>
      <c r="Q12" s="27">
        <f ca="1">SUMIFS('All Expenses'!$F$4:$F$1048576,'All Expenses'!$D$4:$D$1048576,'Jan - March Budget'!O12,'All Expenses'!$B$4:$B$1048576, "&gt;=" &amp; DATE(YEAR(TODAY()),3,1),'All Expenses'!$B$4:$B$1048576, "&lt;=" &amp; DATE(YEAR(TODAY()),3,31))</f>
        <v>0</v>
      </c>
    </row>
    <row r="13" spans="1:17">
      <c r="A13" s="24"/>
      <c r="B13" s="25"/>
      <c r="C13" s="25" t="str">
        <v>Meals</v>
      </c>
      <c r="D13" s="26">
        <f ca="1">SUMIFS('All Expenses'!$E$4:$E$1048576,'All Expenses'!$D$4:$D$1048576,'Jan - March Budget'!C13,'All Expenses'!$B$4:$B$1048576, "&gt;=" &amp; DATE(YEAR(TODAY()),1,1),'All Expenses'!$B$4:$B$1048576, "&lt;=" &amp; DATE(YEAR(TODAY()),1,31))</f>
        <v>0</v>
      </c>
      <c r="E13" s="27">
        <f ca="1">SUMIFS('All Expenses'!$F$4:$F$1048576,'All Expenses'!$D$4:$D$1048576,'Jan - March Budget'!C13,'All Expenses'!$B$4:$B$1048576, "&gt;=" &amp; DATE(YEAR(TODAY()),1,1),'All Expenses'!$B$4:$B$1048576, "&lt;=" &amp; DATE(YEAR(TODAY()),1,31))</f>
        <v>0</v>
      </c>
      <c r="G13" s="24"/>
      <c r="H13" s="26"/>
      <c r="I13" s="25" t="str">
        <v>Meals</v>
      </c>
      <c r="J13" s="26">
        <f ca="1">SUMIFS('All Expenses'!$E$4:$E$1048576,'All Expenses'!$D$4:$D$1048576,'Jan - March Budget'!I13,'All Expenses'!$B$4:$B$1048576, "&gt;=" &amp; DATE(YEAR(TODAY()),2,1),'All Expenses'!$B$4:$B$1048576, "&lt;=" &amp; DATE(YEAR(TODAY()),2,28))</f>
        <v>6228</v>
      </c>
      <c r="K13" s="27">
        <f ca="1">SUMIFS('All Expenses'!$F$4:$F$1048576,'All Expenses'!$D$4:$D$1048576,'Jan - March Budget'!I13,'All Expenses'!$B$4:$B$1048576, "&gt;=" &amp; DATE(YEAR(TODAY()),2,1),'All Expenses'!$B$4:$B$1048576, "&lt;=" &amp; DATE(YEAR(TODAY()),2,28))</f>
        <v>3577</v>
      </c>
      <c r="M13" s="24"/>
      <c r="N13" s="26"/>
      <c r="O13" s="25" t="str">
        <v>Meals</v>
      </c>
      <c r="P13" s="26">
        <f ca="1">SUMIFS('All Expenses'!$E$4:$E$1048576,'All Expenses'!$D$4:$D$1048576,'Jan - March Budget'!O13,'All Expenses'!$B$4:$B$1048576, "&gt;=" &amp; DATE(YEAR(TODAY()),3,1),'All Expenses'!$B$4:$B$1048576, "&lt;=" &amp; DATE(YEAR(TODAY()),3,30))</f>
        <v>9076</v>
      </c>
      <c r="Q13" s="27">
        <f ca="1">SUMIFS('All Expenses'!$F$4:$F$1048576,'All Expenses'!$D$4:$D$1048576,'Jan - March Budget'!O13,'All Expenses'!$B$4:$B$1048576, "&gt;=" &amp; DATE(YEAR(TODAY()),3,1),'All Expenses'!$B$4:$B$1048576, "&lt;=" &amp; DATE(YEAR(TODAY()),3,31))</f>
        <v>1282</v>
      </c>
    </row>
    <row r="14" spans="1:17">
      <c r="A14" s="24"/>
      <c r="B14" s="25"/>
      <c r="C14" s="25" t="str">
        <v>Groceries</v>
      </c>
      <c r="D14" s="26">
        <f ca="1">SUMIFS('All Expenses'!$E$4:$E$1048576,'All Expenses'!$D$4:$D$1048576,'Jan - March Budget'!C14,'All Expenses'!$B$4:$B$1048576, "&gt;=" &amp; DATE(YEAR(TODAY()),1,1),'All Expenses'!$B$4:$B$1048576, "&lt;=" &amp; DATE(YEAR(TODAY()),1,31))</f>
        <v>4285</v>
      </c>
      <c r="E14" s="27">
        <f ca="1">SUMIFS('All Expenses'!$F$4:$F$1048576,'All Expenses'!$D$4:$D$1048576,'Jan - March Budget'!C14,'All Expenses'!$B$4:$B$1048576, "&gt;=" &amp; DATE(YEAR(TODAY()),1,1),'All Expenses'!$B$4:$B$1048576, "&lt;=" &amp; DATE(YEAR(TODAY()),1,31))</f>
        <v>9910</v>
      </c>
      <c r="G14" s="24"/>
      <c r="H14" s="25"/>
      <c r="I14" s="25" t="str">
        <v>Groceries</v>
      </c>
      <c r="J14" s="26">
        <f ca="1">SUMIFS('All Expenses'!$E$4:$E$1048576,'All Expenses'!$D$4:$D$1048576,'Jan - March Budget'!I14,'All Expenses'!$B$4:$B$1048576, "&gt;=" &amp; DATE(YEAR(TODAY()),2,1),'All Expenses'!$B$4:$B$1048576, "&lt;=" &amp; DATE(YEAR(TODAY()),2,28))</f>
        <v>0</v>
      </c>
      <c r="K14" s="27">
        <f ca="1">SUMIFS('All Expenses'!$F$4:$F$1048576,'All Expenses'!$D$4:$D$1048576,'Jan - March Budget'!I14,'All Expenses'!$B$4:$B$1048576, "&gt;=" &amp; DATE(YEAR(TODAY()),2,1),'All Expenses'!$B$4:$B$1048576, "&lt;=" &amp; DATE(YEAR(TODAY()),2,28))</f>
        <v>0</v>
      </c>
      <c r="M14" s="24"/>
      <c r="N14" s="25"/>
      <c r="O14" s="25" t="str">
        <v>Groceries</v>
      </c>
      <c r="P14" s="26">
        <f ca="1">SUMIFS('All Expenses'!$E$4:$E$1048576,'All Expenses'!$D$4:$D$1048576,'Jan - March Budget'!O14,'All Expenses'!$B$4:$B$1048576, "&gt;=" &amp; DATE(YEAR(TODAY()),3,1),'All Expenses'!$B$4:$B$1048576, "&lt;=" &amp; DATE(YEAR(TODAY()),3,30))</f>
        <v>3209</v>
      </c>
      <c r="Q14" s="27">
        <f ca="1">SUMIFS('All Expenses'!$F$4:$F$1048576,'All Expenses'!$D$4:$D$1048576,'Jan - March Budget'!O14,'All Expenses'!$B$4:$B$1048576, "&gt;=" &amp; DATE(YEAR(TODAY()),3,1),'All Expenses'!$B$4:$B$1048576, "&lt;=" &amp; DATE(YEAR(TODAY()),3,31))</f>
        <v>8129</v>
      </c>
    </row>
    <row r="15" spans="1:17">
      <c r="A15" s="24"/>
      <c r="B15" s="25"/>
      <c r="C15" s="25" t="str">
        <v>Electric</v>
      </c>
      <c r="D15" s="26">
        <f ca="1">SUMIFS('All Expenses'!$E$4:$E$1048576,'All Expenses'!$D$4:$D$1048576,'Jan - March Budget'!C15,'All Expenses'!$B$4:$B$1048576, "&gt;=" &amp; DATE(YEAR(TODAY()),1,1),'All Expenses'!$B$4:$B$1048576, "&lt;=" &amp; DATE(YEAR(TODAY()),1,31))</f>
        <v>9519</v>
      </c>
      <c r="E15" s="27">
        <f ca="1">SUMIFS('All Expenses'!$F$4:$F$1048576,'All Expenses'!$D$4:$D$1048576,'Jan - March Budget'!C15,'All Expenses'!$B$4:$B$1048576, "&gt;=" &amp; DATE(YEAR(TODAY()),1,1),'All Expenses'!$B$4:$B$1048576, "&lt;=" &amp; DATE(YEAR(TODAY()),1,31))</f>
        <v>7958</v>
      </c>
      <c r="G15" s="24"/>
      <c r="H15" s="25"/>
      <c r="I15" s="25" t="str">
        <v>Electric</v>
      </c>
      <c r="J15" s="26">
        <f ca="1">SUMIFS('All Expenses'!$E$4:$E$1048576,'All Expenses'!$D$4:$D$1048576,'Jan - March Budget'!I15,'All Expenses'!$B$4:$B$1048576, "&gt;=" &amp; DATE(YEAR(TODAY()),2,1),'All Expenses'!$B$4:$B$1048576, "&lt;=" &amp; DATE(YEAR(TODAY()),2,28))</f>
        <v>0</v>
      </c>
      <c r="K15" s="27">
        <f ca="1">SUMIFS('All Expenses'!$F$4:$F$1048576,'All Expenses'!$D$4:$D$1048576,'Jan - March Budget'!I15,'All Expenses'!$B$4:$B$1048576, "&gt;=" &amp; DATE(YEAR(TODAY()),2,1),'All Expenses'!$B$4:$B$1048576, "&lt;=" &amp; DATE(YEAR(TODAY()),2,28))</f>
        <v>0</v>
      </c>
      <c r="M15" s="24"/>
      <c r="N15" s="25"/>
      <c r="O15" s="25" t="str">
        <v>Electric</v>
      </c>
      <c r="P15" s="26">
        <f ca="1">SUMIFS('All Expenses'!$E$4:$E$1048576,'All Expenses'!$D$4:$D$1048576,'Jan - March Budget'!O15,'All Expenses'!$B$4:$B$1048576, "&gt;=" &amp; DATE(YEAR(TODAY()),3,1),'All Expenses'!$B$4:$B$1048576, "&lt;=" &amp; DATE(YEAR(TODAY()),3,30))</f>
        <v>0</v>
      </c>
      <c r="Q15" s="27">
        <f ca="1">SUMIFS('All Expenses'!$F$4:$F$1048576,'All Expenses'!$D$4:$D$1048576,'Jan - March Budget'!O15,'All Expenses'!$B$4:$B$1048576, "&gt;=" &amp; DATE(YEAR(TODAY()),3,1),'All Expenses'!$B$4:$B$1048576, "&lt;=" &amp; DATE(YEAR(TODAY()),3,31))</f>
        <v>0</v>
      </c>
    </row>
    <row r="16" spans="1:17">
      <c r="A16" s="24"/>
      <c r="B16" s="25"/>
      <c r="C16" s="25" t="str">
        <v>Gas</v>
      </c>
      <c r="D16" s="26">
        <f ca="1">SUMIFS('All Expenses'!$E$4:$E$1048576,'All Expenses'!$D$4:$D$1048576,'Jan - March Budget'!C16,'All Expenses'!$B$4:$B$1048576, "&gt;=" &amp; DATE(YEAR(TODAY()),1,1),'All Expenses'!$B$4:$B$1048576, "&lt;=" &amp; DATE(YEAR(TODAY()),1,31))</f>
        <v>0</v>
      </c>
      <c r="E16" s="27">
        <f ca="1">SUMIFS('All Expenses'!$F$4:$F$1048576,'All Expenses'!$D$4:$D$1048576,'Jan - March Budget'!C16,'All Expenses'!$B$4:$B$1048576, "&gt;=" &amp; DATE(YEAR(TODAY()),1,1),'All Expenses'!$B$4:$B$1048576, "&lt;=" &amp; DATE(YEAR(TODAY()),1,31))</f>
        <v>0</v>
      </c>
      <c r="G16" s="24"/>
      <c r="H16" s="25"/>
      <c r="I16" s="25" t="str">
        <v>Gas</v>
      </c>
      <c r="J16" s="26">
        <f ca="1">SUMIFS('All Expenses'!$E$4:$E$1048576,'All Expenses'!$D$4:$D$1048576,'Jan - March Budget'!I16,'All Expenses'!$B$4:$B$1048576, "&gt;=" &amp; DATE(YEAR(TODAY()),2,1),'All Expenses'!$B$4:$B$1048576, "&lt;=" &amp; DATE(YEAR(TODAY()),2,28))</f>
        <v>3379</v>
      </c>
      <c r="K16" s="27">
        <f ca="1">SUMIFS('All Expenses'!$F$4:$F$1048576,'All Expenses'!$D$4:$D$1048576,'Jan - March Budget'!I16,'All Expenses'!$B$4:$B$1048576, "&gt;=" &amp; DATE(YEAR(TODAY()),2,1),'All Expenses'!$B$4:$B$1048576, "&lt;=" &amp; DATE(YEAR(TODAY()),2,28))</f>
        <v>4247</v>
      </c>
      <c r="M16" s="24"/>
      <c r="N16" s="25"/>
      <c r="O16" s="25" t="str">
        <v>Gas</v>
      </c>
      <c r="P16" s="26">
        <f ca="1">SUMIFS('All Expenses'!$E$4:$E$1048576,'All Expenses'!$D$4:$D$1048576,'Jan - March Budget'!O16,'All Expenses'!$B$4:$B$1048576, "&gt;=" &amp; DATE(YEAR(TODAY()),3,1),'All Expenses'!$B$4:$B$1048576, "&lt;=" &amp; DATE(YEAR(TODAY()),3,30))</f>
        <v>0</v>
      </c>
      <c r="Q16" s="27">
        <f ca="1">SUMIFS('All Expenses'!$F$4:$F$1048576,'All Expenses'!$D$4:$D$1048576,'Jan - March Budget'!O16,'All Expenses'!$B$4:$B$1048576, "&gt;=" &amp; DATE(YEAR(TODAY()),3,1),'All Expenses'!$B$4:$B$1048576, "&lt;=" &amp; DATE(YEAR(TODAY()),3,31))</f>
        <v>0</v>
      </c>
    </row>
    <row r="17" spans="1:17">
      <c r="A17" s="24"/>
      <c r="B17" s="25"/>
      <c r="C17" s="25" t="str">
        <v xml:space="preserve">Water </v>
      </c>
      <c r="D17" s="26">
        <f ca="1">SUMIFS('All Expenses'!$E$4:$E$1048576,'All Expenses'!$D$4:$D$1048576,'Jan - March Budget'!C17,'All Expenses'!$B$4:$B$1048576, "&gt;=" &amp; DATE(YEAR(TODAY()),1,1),'All Expenses'!$B$4:$B$1048576, "&lt;=" &amp; DATE(YEAR(TODAY()),1,31))</f>
        <v>0</v>
      </c>
      <c r="E17" s="27">
        <f ca="1">SUMIFS('All Expenses'!$F$4:$F$1048576,'All Expenses'!$D$4:$D$1048576,'Jan - March Budget'!C17,'All Expenses'!$B$4:$B$1048576, "&gt;=" &amp; DATE(YEAR(TODAY()),1,1),'All Expenses'!$B$4:$B$1048576, "&lt;=" &amp; DATE(YEAR(TODAY()),1,31))</f>
        <v>0</v>
      </c>
      <c r="G17" s="24"/>
      <c r="H17" s="25"/>
      <c r="I17" s="25" t="str">
        <v xml:space="preserve">Water </v>
      </c>
      <c r="J17" s="26">
        <f ca="1">SUMIFS('All Expenses'!$E$4:$E$1048576,'All Expenses'!$D$4:$D$1048576,'Jan - March Budget'!I17,'All Expenses'!$B$4:$B$1048576, "&gt;=" &amp; DATE(YEAR(TODAY()),2,1),'All Expenses'!$B$4:$B$1048576, "&lt;=" &amp; DATE(YEAR(TODAY()),2,28))</f>
        <v>0</v>
      </c>
      <c r="K17" s="27">
        <f ca="1">SUMIFS('All Expenses'!$F$4:$F$1048576,'All Expenses'!$D$4:$D$1048576,'Jan - March Budget'!I17,'All Expenses'!$B$4:$B$1048576, "&gt;=" &amp; DATE(YEAR(TODAY()),2,1),'All Expenses'!$B$4:$B$1048576, "&lt;=" &amp; DATE(YEAR(TODAY()),2,28))</f>
        <v>0</v>
      </c>
      <c r="M17" s="24"/>
      <c r="N17" s="25"/>
      <c r="O17" s="25" t="str">
        <v xml:space="preserve">Water </v>
      </c>
      <c r="P17" s="26">
        <f ca="1">SUMIFS('All Expenses'!$E$4:$E$1048576,'All Expenses'!$D$4:$D$1048576,'Jan - March Budget'!O17,'All Expenses'!$B$4:$B$1048576, "&gt;=" &amp; DATE(YEAR(TODAY()),3,1),'All Expenses'!$B$4:$B$1048576, "&lt;=" &amp; DATE(YEAR(TODAY()),3,30))</f>
        <v>5801</v>
      </c>
      <c r="Q17" s="27">
        <f ca="1">SUMIFS('All Expenses'!$F$4:$F$1048576,'All Expenses'!$D$4:$D$1048576,'Jan - March Budget'!O17,'All Expenses'!$B$4:$B$1048576, "&gt;=" &amp; DATE(YEAR(TODAY()),3,1),'All Expenses'!$B$4:$B$1048576, "&lt;=" &amp; DATE(YEAR(TODAY()),3,31))</f>
        <v>5323</v>
      </c>
    </row>
    <row r="18" spans="1:17">
      <c r="A18" s="24"/>
      <c r="B18" s="25"/>
      <c r="C18" s="25" t="str">
        <v>Heatng Bills</v>
      </c>
      <c r="D18" s="26">
        <f ca="1">SUMIFS('All Expenses'!$E$4:$E$1048576,'All Expenses'!$D$4:$D$1048576,'Jan - March Budget'!C18,'All Expenses'!$B$4:$B$1048576, "&gt;=" &amp; DATE(YEAR(TODAY()),1,1),'All Expenses'!$B$4:$B$1048576, "&lt;=" &amp; DATE(YEAR(TODAY()),1,31))</f>
        <v>0</v>
      </c>
      <c r="E18" s="27">
        <f ca="1">SUMIFS('All Expenses'!$F$4:$F$1048576,'All Expenses'!$D$4:$D$1048576,'Jan - March Budget'!C18,'All Expenses'!$B$4:$B$1048576, "&gt;=" &amp; DATE(YEAR(TODAY()),1,1),'All Expenses'!$B$4:$B$1048576, "&lt;=" &amp; DATE(YEAR(TODAY()),1,31))</f>
        <v>0</v>
      </c>
      <c r="G18" s="24"/>
      <c r="H18" s="25"/>
      <c r="I18" s="25" t="str">
        <v>Heatng Bills</v>
      </c>
      <c r="J18" s="26">
        <f ca="1">SUMIFS('All Expenses'!$E$4:$E$1048576,'All Expenses'!$D$4:$D$1048576,'Jan - March Budget'!I18,'All Expenses'!$B$4:$B$1048576, "&gt;=" &amp; DATE(YEAR(TODAY()),2,1),'All Expenses'!$B$4:$B$1048576, "&lt;=" &amp; DATE(YEAR(TODAY()),2,28))</f>
        <v>0</v>
      </c>
      <c r="K18" s="27">
        <f ca="1">SUMIFS('All Expenses'!$F$4:$F$1048576,'All Expenses'!$D$4:$D$1048576,'Jan - March Budget'!I18,'All Expenses'!$B$4:$B$1048576, "&gt;=" &amp; DATE(YEAR(TODAY()),2,1),'All Expenses'!$B$4:$B$1048576, "&lt;=" &amp; DATE(YEAR(TODAY()),2,28))</f>
        <v>0</v>
      </c>
      <c r="M18" s="24"/>
      <c r="N18" s="25"/>
      <c r="O18" s="25" t="str">
        <v>Heatng Bills</v>
      </c>
      <c r="P18" s="26">
        <f ca="1">SUMIFS('All Expenses'!$E$4:$E$1048576,'All Expenses'!$D$4:$D$1048576,'Jan - March Budget'!O18,'All Expenses'!$B$4:$B$1048576, "&gt;=" &amp; DATE(YEAR(TODAY()),3,1),'All Expenses'!$B$4:$B$1048576, "&lt;=" &amp; DATE(YEAR(TODAY()),3,30))</f>
        <v>0</v>
      </c>
      <c r="Q18" s="27">
        <f ca="1">SUMIFS('All Expenses'!$F$4:$F$1048576,'All Expenses'!$D$4:$D$1048576,'Jan - March Budget'!O18,'All Expenses'!$B$4:$B$1048576, "&gt;=" &amp; DATE(YEAR(TODAY()),3,1),'All Expenses'!$B$4:$B$1048576, "&lt;=" &amp; DATE(YEAR(TODAY()),3,31))</f>
        <v>0</v>
      </c>
    </row>
    <row r="19" spans="1:17">
      <c r="A19" s="24"/>
      <c r="B19" s="25"/>
      <c r="C19" s="25" t="str">
        <v>House and Contents</v>
      </c>
      <c r="D19" s="26">
        <f ca="1">SUMIFS('All Expenses'!$E$4:$E$1048576,'All Expenses'!$D$4:$D$1048576,'Jan - March Budget'!C19,'All Expenses'!$B$4:$B$1048576, "&gt;=" &amp; DATE(YEAR(TODAY()),1,1),'All Expenses'!$B$4:$B$1048576, "&lt;=" &amp; DATE(YEAR(TODAY()),1,31))</f>
        <v>639</v>
      </c>
      <c r="E19" s="27">
        <f ca="1">SUMIFS('All Expenses'!$F$4:$F$1048576,'All Expenses'!$D$4:$D$1048576,'Jan - March Budget'!C19,'All Expenses'!$B$4:$B$1048576, "&gt;=" &amp; DATE(YEAR(TODAY()),1,1),'All Expenses'!$B$4:$B$1048576, "&lt;=" &amp; DATE(YEAR(TODAY()),1,31))</f>
        <v>1768</v>
      </c>
      <c r="G19" s="24"/>
      <c r="H19" s="25"/>
      <c r="I19" s="25" t="str">
        <v>House and Contents</v>
      </c>
      <c r="J19" s="26">
        <f ca="1">SUMIFS('All Expenses'!$E$4:$E$1048576,'All Expenses'!$D$4:$D$1048576,'Jan - March Budget'!I19,'All Expenses'!$B$4:$B$1048576, "&gt;=" &amp; DATE(YEAR(TODAY()),2,1),'All Expenses'!$B$4:$B$1048576, "&lt;=" &amp; DATE(YEAR(TODAY()),2,28))</f>
        <v>0</v>
      </c>
      <c r="K19" s="27">
        <f ca="1">SUMIFS('All Expenses'!$F$4:$F$1048576,'All Expenses'!$D$4:$D$1048576,'Jan - March Budget'!I19,'All Expenses'!$B$4:$B$1048576, "&gt;=" &amp; DATE(YEAR(TODAY()),2,1),'All Expenses'!$B$4:$B$1048576, "&lt;=" &amp; DATE(YEAR(TODAY()),2,28))</f>
        <v>0</v>
      </c>
      <c r="M19" s="24"/>
      <c r="N19" s="25"/>
      <c r="O19" s="25" t="str">
        <v>House and Contents</v>
      </c>
      <c r="P19" s="26">
        <f ca="1">SUMIFS('All Expenses'!$E$4:$E$1048576,'All Expenses'!$D$4:$D$1048576,'Jan - March Budget'!O19,'All Expenses'!$B$4:$B$1048576, "&gt;=" &amp; DATE(YEAR(TODAY()),3,1),'All Expenses'!$B$4:$B$1048576, "&lt;=" &amp; DATE(YEAR(TODAY()),3,30))</f>
        <v>0</v>
      </c>
      <c r="Q19" s="27">
        <f ca="1">SUMIFS('All Expenses'!$F$4:$F$1048576,'All Expenses'!$D$4:$D$1048576,'Jan - March Budget'!O19,'All Expenses'!$B$4:$B$1048576, "&gt;=" &amp; DATE(YEAR(TODAY()),3,1),'All Expenses'!$B$4:$B$1048576, "&lt;=" &amp; DATE(YEAR(TODAY()),3,31))</f>
        <v>0</v>
      </c>
    </row>
    <row r="20" spans="1:17">
      <c r="A20" s="24"/>
      <c r="B20" s="25"/>
      <c r="C20" s="25" t="str">
        <v>Vehicle</v>
      </c>
      <c r="D20" s="26">
        <f ca="1">SUMIFS('All Expenses'!$E$4:$E$1048576,'All Expenses'!$D$4:$D$1048576,'Jan - March Budget'!C20,'All Expenses'!$B$4:$B$1048576, "&gt;=" &amp; DATE(YEAR(TODAY()),1,1),'All Expenses'!$B$4:$B$1048576, "&lt;=" &amp; DATE(YEAR(TODAY()),1,31))</f>
        <v>0</v>
      </c>
      <c r="E20" s="27">
        <f ca="1">SUMIFS('All Expenses'!$F$4:$F$1048576,'All Expenses'!$D$4:$D$1048576,'Jan - March Budget'!C20,'All Expenses'!$B$4:$B$1048576, "&gt;=" &amp; DATE(YEAR(TODAY()),1,1),'All Expenses'!$B$4:$B$1048576, "&lt;=" &amp; DATE(YEAR(TODAY()),1,31))</f>
        <v>0</v>
      </c>
      <c r="G20" s="24"/>
      <c r="H20" s="25"/>
      <c r="I20" s="25" t="str">
        <v>Vehicle</v>
      </c>
      <c r="J20" s="26">
        <f ca="1">SUMIFS('All Expenses'!$E$4:$E$1048576,'All Expenses'!$D$4:$D$1048576,'Jan - March Budget'!I20,'All Expenses'!$B$4:$B$1048576, "&gt;=" &amp; DATE(YEAR(TODAY()),2,1),'All Expenses'!$B$4:$B$1048576, "&lt;=" &amp; DATE(YEAR(TODAY()),2,28))</f>
        <v>1476</v>
      </c>
      <c r="K20" s="27">
        <f ca="1">SUMIFS('All Expenses'!$F$4:$F$1048576,'All Expenses'!$D$4:$D$1048576,'Jan - March Budget'!I20,'All Expenses'!$B$4:$B$1048576, "&gt;=" &amp; DATE(YEAR(TODAY()),2,1),'All Expenses'!$B$4:$B$1048576, "&lt;=" &amp; DATE(YEAR(TODAY()),2,28))</f>
        <v>188</v>
      </c>
      <c r="M20" s="24"/>
      <c r="N20" s="25"/>
      <c r="O20" s="25" t="str">
        <v>Vehicle</v>
      </c>
      <c r="P20" s="26">
        <f ca="1">SUMIFS('All Expenses'!$E$4:$E$1048576,'All Expenses'!$D$4:$D$1048576,'Jan - March Budget'!O20,'All Expenses'!$B$4:$B$1048576, "&gt;=" &amp; DATE(YEAR(TODAY()),3,1),'All Expenses'!$B$4:$B$1048576, "&lt;=" &amp; DATE(YEAR(TODAY()),3,30))</f>
        <v>0</v>
      </c>
      <c r="Q20" s="27">
        <f ca="1">SUMIFS('All Expenses'!$F$4:$F$1048576,'All Expenses'!$D$4:$D$1048576,'Jan - March Budget'!O20,'All Expenses'!$B$4:$B$1048576, "&gt;=" &amp; DATE(YEAR(TODAY()),3,1),'All Expenses'!$B$4:$B$1048576, "&lt;=" &amp; DATE(YEAR(TODAY()),3,31))</f>
        <v>0</v>
      </c>
    </row>
    <row r="21" spans="1:17">
      <c r="A21" s="24"/>
      <c r="B21" s="25"/>
      <c r="C21" s="25" t="str">
        <v xml:space="preserve">Personal Liability </v>
      </c>
      <c r="D21" s="26">
        <f ca="1">SUMIFS('All Expenses'!$E$4:$E$1048576,'All Expenses'!$D$4:$D$1048576,'Jan - March Budget'!C21,'All Expenses'!$B$4:$B$1048576, "&gt;=" &amp; DATE(YEAR(TODAY()),1,1),'All Expenses'!$B$4:$B$1048576, "&lt;=" &amp; DATE(YEAR(TODAY()),1,31))</f>
        <v>1275</v>
      </c>
      <c r="E21" s="27">
        <f ca="1">SUMIFS('All Expenses'!$F$4:$F$1048576,'All Expenses'!$D$4:$D$1048576,'Jan - March Budget'!C21,'All Expenses'!$B$4:$B$1048576, "&gt;=" &amp; DATE(YEAR(TODAY()),1,1),'All Expenses'!$B$4:$B$1048576, "&lt;=" &amp; DATE(YEAR(TODAY()),1,31))</f>
        <v>6572</v>
      </c>
      <c r="G21" s="24"/>
      <c r="H21" s="25"/>
      <c r="I21" s="25" t="str">
        <v xml:space="preserve">Personal Liability </v>
      </c>
      <c r="J21" s="26">
        <f ca="1">SUMIFS('All Expenses'!$E$4:$E$1048576,'All Expenses'!$D$4:$D$1048576,'Jan - March Budget'!I21,'All Expenses'!$B$4:$B$1048576, "&gt;=" &amp; DATE(YEAR(TODAY()),2,1),'All Expenses'!$B$4:$B$1048576, "&lt;=" &amp; DATE(YEAR(TODAY()),2,28))</f>
        <v>0</v>
      </c>
      <c r="K21" s="27">
        <f ca="1">SUMIFS('All Expenses'!$F$4:$F$1048576,'All Expenses'!$D$4:$D$1048576,'Jan - March Budget'!I21,'All Expenses'!$B$4:$B$1048576, "&gt;=" &amp; DATE(YEAR(TODAY()),2,1),'All Expenses'!$B$4:$B$1048576, "&lt;=" &amp; DATE(YEAR(TODAY()),2,28))</f>
        <v>0</v>
      </c>
      <c r="M21" s="24"/>
      <c r="N21" s="25"/>
      <c r="O21" s="25" t="str">
        <v xml:space="preserve">Personal Liability </v>
      </c>
      <c r="P21" s="26">
        <f ca="1">SUMIFS('All Expenses'!$E$4:$E$1048576,'All Expenses'!$D$4:$D$1048576,'Jan - March Budget'!O21,'All Expenses'!$B$4:$B$1048576, "&gt;=" &amp; DATE(YEAR(TODAY()),3,1),'All Expenses'!$B$4:$B$1048576, "&lt;=" &amp; DATE(YEAR(TODAY()),3,30))</f>
        <v>7808</v>
      </c>
      <c r="Q21" s="27">
        <f ca="1">SUMIFS('All Expenses'!$F$4:$F$1048576,'All Expenses'!$D$4:$D$1048576,'Jan - March Budget'!O21,'All Expenses'!$B$4:$B$1048576, "&gt;=" &amp; DATE(YEAR(TODAY()),3,1),'All Expenses'!$B$4:$B$1048576, "&lt;=" &amp; DATE(YEAR(TODAY()),3,31))</f>
        <v>9383</v>
      </c>
    </row>
    <row r="22" spans="1:17">
      <c r="A22" s="24"/>
      <c r="B22" s="25"/>
      <c r="C22" s="25" t="str">
        <v>Subscriptions</v>
      </c>
      <c r="D22" s="26">
        <f ca="1">SUMIFS('All Expenses'!$E$4:$E$1048576,'All Expenses'!$D$4:$D$1048576,'Jan - March Budget'!C22,'All Expenses'!$B$4:$B$1048576, "&gt;=" &amp; DATE(YEAR(TODAY()),1,1),'All Expenses'!$B$4:$B$1048576, "&lt;=" &amp; DATE(YEAR(TODAY()),1,31))</f>
        <v>0</v>
      </c>
      <c r="E22" s="27">
        <f ca="1">SUMIFS('All Expenses'!$F$4:$F$1048576,'All Expenses'!$D$4:$D$1048576,'Jan - March Budget'!C22,'All Expenses'!$B$4:$B$1048576, "&gt;=" &amp; DATE(YEAR(TODAY()),1,1),'All Expenses'!$B$4:$B$1048576, "&lt;=" &amp; DATE(YEAR(TODAY()),1,31))</f>
        <v>0</v>
      </c>
      <c r="G22" s="24"/>
      <c r="H22" s="25"/>
      <c r="I22" s="25" t="str">
        <v>Subscriptions</v>
      </c>
      <c r="J22" s="26">
        <f ca="1">SUMIFS('All Expenses'!$E$4:$E$1048576,'All Expenses'!$D$4:$D$1048576,'Jan - March Budget'!I22,'All Expenses'!$B$4:$B$1048576, "&gt;=" &amp; DATE(YEAR(TODAY()),2,1),'All Expenses'!$B$4:$B$1048576, "&lt;=" &amp; DATE(YEAR(TODAY()),2,28))</f>
        <v>0</v>
      </c>
      <c r="K22" s="27">
        <f ca="1">SUMIFS('All Expenses'!$F$4:$F$1048576,'All Expenses'!$D$4:$D$1048576,'Jan - March Budget'!I22,'All Expenses'!$B$4:$B$1048576, "&gt;=" &amp; DATE(YEAR(TODAY()),2,1),'All Expenses'!$B$4:$B$1048576, "&lt;=" &amp; DATE(YEAR(TODAY()),2,28))</f>
        <v>0</v>
      </c>
      <c r="M22" s="24"/>
      <c r="N22" s="25"/>
      <c r="O22" s="25" t="str">
        <v>Subscriptions</v>
      </c>
      <c r="P22" s="26">
        <f ca="1">SUMIFS('All Expenses'!$E$4:$E$1048576,'All Expenses'!$D$4:$D$1048576,'Jan - March Budget'!O22,'All Expenses'!$B$4:$B$1048576, "&gt;=" &amp; DATE(YEAR(TODAY()),3,1),'All Expenses'!$B$4:$B$1048576, "&lt;=" &amp; DATE(YEAR(TODAY()),3,30))</f>
        <v>0</v>
      </c>
      <c r="Q22" s="27">
        <f ca="1">SUMIFS('All Expenses'!$F$4:$F$1048576,'All Expenses'!$D$4:$D$1048576,'Jan - March Budget'!O22,'All Expenses'!$B$4:$B$1048576, "&gt;=" &amp; DATE(YEAR(TODAY()),3,1),'All Expenses'!$B$4:$B$1048576, "&lt;=" &amp; DATE(YEAR(TODAY()),3,31))</f>
        <v>0</v>
      </c>
    </row>
    <row r="23" spans="1:17">
      <c r="A23" s="24"/>
      <c r="B23" s="25"/>
      <c r="C23" s="25" t="str">
        <v>Gym Memberships</v>
      </c>
      <c r="D23" s="26">
        <f ca="1">SUMIFS('All Expenses'!$E$4:$E$1048576,'All Expenses'!$D$4:$D$1048576,'Jan - March Budget'!C23,'All Expenses'!$B$4:$B$1048576, "&gt;=" &amp; DATE(YEAR(TODAY()),1,1),'All Expenses'!$B$4:$B$1048576, "&lt;=" &amp; DATE(YEAR(TODAY()),1,31))</f>
        <v>0</v>
      </c>
      <c r="E23" s="27">
        <f ca="1">SUMIFS('All Expenses'!$F$4:$F$1048576,'All Expenses'!$D$4:$D$1048576,'Jan - March Budget'!C23,'All Expenses'!$B$4:$B$1048576, "&gt;=" &amp; DATE(YEAR(TODAY()),1,1),'All Expenses'!$B$4:$B$1048576, "&lt;=" &amp; DATE(YEAR(TODAY()),1,31))</f>
        <v>0</v>
      </c>
      <c r="G23" s="24"/>
      <c r="H23" s="25"/>
      <c r="I23" s="25" t="str">
        <v>Gym Memberships</v>
      </c>
      <c r="J23" s="26">
        <f ca="1">SUMIFS('All Expenses'!$E$4:$E$1048576,'All Expenses'!$D$4:$D$1048576,'Jan - March Budget'!I23,'All Expenses'!$B$4:$B$1048576, "&gt;=" &amp; DATE(YEAR(TODAY()),2,1),'All Expenses'!$B$4:$B$1048576, "&lt;=" &amp; DATE(YEAR(TODAY()),2,28))</f>
        <v>0</v>
      </c>
      <c r="K23" s="27">
        <f ca="1">SUMIFS('All Expenses'!$F$4:$F$1048576,'All Expenses'!$D$4:$D$1048576,'Jan - March Budget'!I23,'All Expenses'!$B$4:$B$1048576, "&gt;=" &amp; DATE(YEAR(TODAY()),2,1),'All Expenses'!$B$4:$B$1048576, "&lt;=" &amp; DATE(YEAR(TODAY()),2,28))</f>
        <v>0</v>
      </c>
      <c r="M23" s="24"/>
      <c r="N23" s="25"/>
      <c r="O23" s="25" t="str">
        <v>Gym Memberships</v>
      </c>
      <c r="P23" s="26">
        <f ca="1">SUMIFS('All Expenses'!$E$4:$E$1048576,'All Expenses'!$D$4:$D$1048576,'Jan - March Budget'!O23,'All Expenses'!$B$4:$B$1048576, "&gt;=" &amp; DATE(YEAR(TODAY()),3,1),'All Expenses'!$B$4:$B$1048576, "&lt;=" &amp; DATE(YEAR(TODAY()),3,30))</f>
        <v>0</v>
      </c>
      <c r="Q23" s="27">
        <f ca="1">SUMIFS('All Expenses'!$F$4:$F$1048576,'All Expenses'!$D$4:$D$1048576,'Jan - March Budget'!O23,'All Expenses'!$B$4:$B$1048576, "&gt;=" &amp; DATE(YEAR(TODAY()),3,1),'All Expenses'!$B$4:$B$1048576, "&lt;=" &amp; DATE(YEAR(TODAY()),3,31))</f>
        <v>0</v>
      </c>
    </row>
    <row r="24" spans="1:17">
      <c r="A24" s="24"/>
      <c r="B24" s="25"/>
      <c r="C24" s="25" t="str">
        <v>Movies</v>
      </c>
      <c r="D24" s="26">
        <f ca="1">SUMIFS('All Expenses'!$E$4:$E$1048576,'All Expenses'!$D$4:$D$1048576,'Jan - March Budget'!C24,'All Expenses'!$B$4:$B$1048576, "&gt;=" &amp; DATE(YEAR(TODAY()),1,1),'All Expenses'!$B$4:$B$1048576, "&lt;=" &amp; DATE(YEAR(TODAY()),1,31))</f>
        <v>5607</v>
      </c>
      <c r="E24" s="27">
        <f ca="1">SUMIFS('All Expenses'!$F$4:$F$1048576,'All Expenses'!$D$4:$D$1048576,'Jan - March Budget'!C24,'All Expenses'!$B$4:$B$1048576, "&gt;=" &amp; DATE(YEAR(TODAY()),1,1),'All Expenses'!$B$4:$B$1048576, "&lt;=" &amp; DATE(YEAR(TODAY()),1,31))</f>
        <v>9804</v>
      </c>
      <c r="G24" s="24"/>
      <c r="H24" s="25"/>
      <c r="I24" s="25" t="str">
        <v>Movies</v>
      </c>
      <c r="J24" s="26">
        <f ca="1">SUMIFS('All Expenses'!$E$4:$E$1048576,'All Expenses'!$D$4:$D$1048576,'Jan - March Budget'!I24,'All Expenses'!$B$4:$B$1048576, "&gt;=" &amp; DATE(YEAR(TODAY()),2,1),'All Expenses'!$B$4:$B$1048576, "&lt;=" &amp; DATE(YEAR(TODAY()),2,28))</f>
        <v>0</v>
      </c>
      <c r="K24" s="27">
        <f ca="1">SUMIFS('All Expenses'!$F$4:$F$1048576,'All Expenses'!$D$4:$D$1048576,'Jan - March Budget'!I24,'All Expenses'!$B$4:$B$1048576, "&gt;=" &amp; DATE(YEAR(TODAY()),2,1),'All Expenses'!$B$4:$B$1048576, "&lt;=" &amp; DATE(YEAR(TODAY()),2,28))</f>
        <v>0</v>
      </c>
      <c r="M24" s="24"/>
      <c r="N24" s="25"/>
      <c r="O24" s="25" t="str">
        <v>Movies</v>
      </c>
      <c r="P24" s="26">
        <f ca="1">SUMIFS('All Expenses'!$E$4:$E$1048576,'All Expenses'!$D$4:$D$1048576,'Jan - March Budget'!O24,'All Expenses'!$B$4:$B$1048576, "&gt;=" &amp; DATE(YEAR(TODAY()),3,1),'All Expenses'!$B$4:$B$1048576, "&lt;=" &amp; DATE(YEAR(TODAY()),3,30))</f>
        <v>0</v>
      </c>
      <c r="Q24" s="27">
        <f ca="1">SUMIFS('All Expenses'!$F$4:$F$1048576,'All Expenses'!$D$4:$D$1048576,'Jan - March Budget'!O24,'All Expenses'!$B$4:$B$1048576, "&gt;=" &amp; DATE(YEAR(TODAY()),3,1),'All Expenses'!$B$4:$B$1048576, "&lt;=" &amp; DATE(YEAR(TODAY()),3,31))</f>
        <v>0</v>
      </c>
    </row>
    <row r="25" spans="1:17">
      <c r="A25" s="24"/>
      <c r="B25" s="25"/>
      <c r="C25" s="25" t="str">
        <v>Concerts</v>
      </c>
      <c r="D25" s="26">
        <f ca="1">SUMIFS('All Expenses'!$E$4:$E$1048576,'All Expenses'!$D$4:$D$1048576,'Jan - March Budget'!C25,'All Expenses'!$B$4:$B$1048576, "&gt;=" &amp; DATE(YEAR(TODAY()),1,1),'All Expenses'!$B$4:$B$1048576, "&lt;=" &amp; DATE(YEAR(TODAY()),1,31))</f>
        <v>0</v>
      </c>
      <c r="E25" s="27">
        <f ca="1">SUMIFS('All Expenses'!$F$4:$F$1048576,'All Expenses'!$D$4:$D$1048576,'Jan - March Budget'!C25,'All Expenses'!$B$4:$B$1048576, "&gt;=" &amp; DATE(YEAR(TODAY()),1,1),'All Expenses'!$B$4:$B$1048576, "&lt;=" &amp; DATE(YEAR(TODAY()),1,31))</f>
        <v>0</v>
      </c>
      <c r="G25" s="24"/>
      <c r="H25" s="25"/>
      <c r="I25" s="25" t="str">
        <v>Concerts</v>
      </c>
      <c r="J25" s="26">
        <f ca="1">SUMIFS('All Expenses'!$E$4:$E$1048576,'All Expenses'!$D$4:$D$1048576,'Jan - March Budget'!I25,'All Expenses'!$B$4:$B$1048576, "&gt;=" &amp; DATE(YEAR(TODAY()),2,1),'All Expenses'!$B$4:$B$1048576, "&lt;=" &amp; DATE(YEAR(TODAY()),2,28))</f>
        <v>3575</v>
      </c>
      <c r="K25" s="27">
        <f ca="1">SUMIFS('All Expenses'!$F$4:$F$1048576,'All Expenses'!$D$4:$D$1048576,'Jan - March Budget'!I25,'All Expenses'!$B$4:$B$1048576, "&gt;=" &amp; DATE(YEAR(TODAY()),2,1),'All Expenses'!$B$4:$B$1048576, "&lt;=" &amp; DATE(YEAR(TODAY()),2,28))</f>
        <v>4556</v>
      </c>
      <c r="M25" s="24"/>
      <c r="N25" s="25"/>
      <c r="O25" s="25" t="str">
        <v>Concerts</v>
      </c>
      <c r="P25" s="26">
        <f ca="1">SUMIFS('All Expenses'!$E$4:$E$1048576,'All Expenses'!$D$4:$D$1048576,'Jan - March Budget'!O25,'All Expenses'!$B$4:$B$1048576, "&gt;=" &amp; DATE(YEAR(TODAY()),3,1),'All Expenses'!$B$4:$B$1048576, "&lt;=" &amp; DATE(YEAR(TODAY()),3,30))</f>
        <v>0</v>
      </c>
      <c r="Q25" s="27">
        <f ca="1">SUMIFS('All Expenses'!$F$4:$F$1048576,'All Expenses'!$D$4:$D$1048576,'Jan - March Budget'!O25,'All Expenses'!$B$4:$B$1048576, "&gt;=" &amp; DATE(YEAR(TODAY()),3,1),'All Expenses'!$B$4:$B$1048576, "&lt;=" &amp; DATE(YEAR(TODAY()),3,31))</f>
        <v>0</v>
      </c>
    </row>
    <row r="26" spans="1:17">
      <c r="A26" s="24"/>
      <c r="B26" s="25"/>
      <c r="C26" s="25" t="str">
        <v>Outings</v>
      </c>
      <c r="D26" s="26">
        <f ca="1">SUMIFS('All Expenses'!$E$4:$E$1048576,'All Expenses'!$D$4:$D$1048576,'Jan - March Budget'!C26,'All Expenses'!$B$4:$B$1048576, "&gt;=" &amp; DATE(YEAR(TODAY()),1,1),'All Expenses'!$B$4:$B$1048576, "&lt;=" &amp; DATE(YEAR(TODAY()),1,31))</f>
        <v>0</v>
      </c>
      <c r="E26" s="27">
        <f ca="1">SUMIFS('All Expenses'!$F$4:$F$1048576,'All Expenses'!$D$4:$D$1048576,'Jan - March Budget'!C26,'All Expenses'!$B$4:$B$1048576, "&gt;=" &amp; DATE(YEAR(TODAY()),1,1),'All Expenses'!$B$4:$B$1048576, "&lt;=" &amp; DATE(YEAR(TODAY()),1,31))</f>
        <v>0</v>
      </c>
      <c r="G26" s="24"/>
      <c r="H26" s="25"/>
      <c r="I26" s="25" t="str">
        <v>Outings</v>
      </c>
      <c r="J26" s="26">
        <f ca="1">SUMIFS('All Expenses'!$E$4:$E$1048576,'All Expenses'!$D$4:$D$1048576,'Jan - March Budget'!I26,'All Expenses'!$B$4:$B$1048576, "&gt;=" &amp; DATE(YEAR(TODAY()),2,1),'All Expenses'!$B$4:$B$1048576, "&lt;=" &amp; DATE(YEAR(TODAY()),2,28))</f>
        <v>0</v>
      </c>
      <c r="K26" s="27">
        <f ca="1">SUMIFS('All Expenses'!$F$4:$F$1048576,'All Expenses'!$D$4:$D$1048576,'Jan - March Budget'!I26,'All Expenses'!$B$4:$B$1048576, "&gt;=" &amp; DATE(YEAR(TODAY()),2,1),'All Expenses'!$B$4:$B$1048576, "&lt;=" &amp; DATE(YEAR(TODAY()),2,28))</f>
        <v>0</v>
      </c>
      <c r="M26" s="24"/>
      <c r="N26" s="25"/>
      <c r="O26" s="25" t="str">
        <v>Outings</v>
      </c>
      <c r="P26" s="26">
        <f ca="1">SUMIFS('All Expenses'!$E$4:$E$1048576,'All Expenses'!$D$4:$D$1048576,'Jan - March Budget'!O26,'All Expenses'!$B$4:$B$1048576, "&gt;=" &amp; DATE(YEAR(TODAY()),3,1),'All Expenses'!$B$4:$B$1048576, "&lt;=" &amp; DATE(YEAR(TODAY()),3,30))</f>
        <v>2012</v>
      </c>
      <c r="Q26" s="27">
        <f ca="1">SUMIFS('All Expenses'!$F$4:$F$1048576,'All Expenses'!$D$4:$D$1048576,'Jan - March Budget'!O26,'All Expenses'!$B$4:$B$1048576, "&gt;=" &amp; DATE(YEAR(TODAY()),3,1),'All Expenses'!$B$4:$B$1048576, "&lt;=" &amp; DATE(YEAR(TODAY()),3,31))</f>
        <v>1241</v>
      </c>
    </row>
    <row r="27" spans="1:17">
      <c r="A27" s="24"/>
      <c r="B27" s="25"/>
      <c r="C27" s="25" t="str">
        <v>Dinners</v>
      </c>
      <c r="D27" s="26">
        <f ca="1">SUMIFS('All Expenses'!$E$4:$E$1048576,'All Expenses'!$D$4:$D$1048576,'Jan - March Budget'!C27,'All Expenses'!$B$4:$B$1048576, "&gt;=" &amp; DATE(YEAR(TODAY()),1,1),'All Expenses'!$B$4:$B$1048576, "&lt;=" &amp; DATE(YEAR(TODAY()),1,31))</f>
        <v>2838</v>
      </c>
      <c r="E27" s="27">
        <f ca="1">SUMIFS('All Expenses'!$F$4:$F$1048576,'All Expenses'!$D$4:$D$1048576,'Jan - March Budget'!C27,'All Expenses'!$B$4:$B$1048576, "&gt;=" &amp; DATE(YEAR(TODAY()),1,1),'All Expenses'!$B$4:$B$1048576, "&lt;=" &amp; DATE(YEAR(TODAY()),1,31))</f>
        <v>2825</v>
      </c>
      <c r="G27" s="24"/>
      <c r="H27" s="25"/>
      <c r="I27" s="25" t="str">
        <v>Dinners</v>
      </c>
      <c r="J27" s="26">
        <f ca="1">SUMIFS('All Expenses'!$E$4:$E$1048576,'All Expenses'!$D$4:$D$1048576,'Jan - March Budget'!I27,'All Expenses'!$B$4:$B$1048576, "&gt;=" &amp; DATE(YEAR(TODAY()),2,1),'All Expenses'!$B$4:$B$1048576, "&lt;=" &amp; DATE(YEAR(TODAY()),2,28))</f>
        <v>0</v>
      </c>
      <c r="K27" s="27">
        <f ca="1">SUMIFS('All Expenses'!$F$4:$F$1048576,'All Expenses'!$D$4:$D$1048576,'Jan - March Budget'!I27,'All Expenses'!$B$4:$B$1048576, "&gt;=" &amp; DATE(YEAR(TODAY()),2,1),'All Expenses'!$B$4:$B$1048576, "&lt;=" &amp; DATE(YEAR(TODAY()),2,28))</f>
        <v>0</v>
      </c>
      <c r="M27" s="24"/>
      <c r="N27" s="25"/>
      <c r="O27" s="25" t="str">
        <v>Dinners</v>
      </c>
      <c r="P27" s="26">
        <f ca="1">SUMIFS('All Expenses'!$E$4:$E$1048576,'All Expenses'!$D$4:$D$1048576,'Jan - March Budget'!O27,'All Expenses'!$B$4:$B$1048576, "&gt;=" &amp; DATE(YEAR(TODAY()),3,1),'All Expenses'!$B$4:$B$1048576, "&lt;=" &amp; DATE(YEAR(TODAY()),3,30))</f>
        <v>0</v>
      </c>
      <c r="Q27" s="27">
        <f ca="1">SUMIFS('All Expenses'!$F$4:$F$1048576,'All Expenses'!$D$4:$D$1048576,'Jan - March Budget'!O27,'All Expenses'!$B$4:$B$1048576, "&gt;=" &amp; DATE(YEAR(TODAY()),3,1),'All Expenses'!$B$4:$B$1048576, "&lt;=" &amp; DATE(YEAR(TODAY()),3,31))</f>
        <v>0</v>
      </c>
    </row>
    <row r="28" spans="1:17">
      <c r="A28" s="24"/>
      <c r="B28" s="25"/>
      <c r="C28" s="25" t="str">
        <v>Social Event</v>
      </c>
      <c r="D28" s="26">
        <f ca="1">SUMIFS('All Expenses'!$E$4:$E$1048576,'All Expenses'!$D$4:$D$1048576,'Jan - March Budget'!C28,'All Expenses'!$B$4:$B$1048576, "&gt;=" &amp; DATE(YEAR(TODAY()),1,1),'All Expenses'!$B$4:$B$1048576, "&lt;=" &amp; DATE(YEAR(TODAY()),1,31))</f>
        <v>0</v>
      </c>
      <c r="E28" s="27">
        <f ca="1">SUMIFS('All Expenses'!$F$4:$F$1048576,'All Expenses'!$D$4:$D$1048576,'Jan - March Budget'!C28,'All Expenses'!$B$4:$B$1048576, "&gt;=" &amp; DATE(YEAR(TODAY()),1,1),'All Expenses'!$B$4:$B$1048576, "&lt;=" &amp; DATE(YEAR(TODAY()),1,31))</f>
        <v>0</v>
      </c>
      <c r="G28" s="24"/>
      <c r="H28" s="25"/>
      <c r="I28" s="25" t="str">
        <v>Social Event</v>
      </c>
      <c r="J28" s="26">
        <f ca="1">SUMIFS('All Expenses'!$E$4:$E$1048576,'All Expenses'!$D$4:$D$1048576,'Jan - March Budget'!I28,'All Expenses'!$B$4:$B$1048576, "&gt;=" &amp; DATE(YEAR(TODAY()),2,1),'All Expenses'!$B$4:$B$1048576, "&lt;=" &amp; DATE(YEAR(TODAY()),2,28))</f>
        <v>933</v>
      </c>
      <c r="K28" s="27">
        <f ca="1">SUMIFS('All Expenses'!$F$4:$F$1048576,'All Expenses'!$D$4:$D$1048576,'Jan - March Budget'!I28,'All Expenses'!$B$4:$B$1048576, "&gt;=" &amp; DATE(YEAR(TODAY()),2,1),'All Expenses'!$B$4:$B$1048576, "&lt;=" &amp; DATE(YEAR(TODAY()),2,28))</f>
        <v>9419</v>
      </c>
      <c r="M28" s="24"/>
      <c r="N28" s="25"/>
      <c r="O28" s="25" t="str">
        <v>Social Event</v>
      </c>
      <c r="P28" s="26">
        <f ca="1">SUMIFS('All Expenses'!$E$4:$E$1048576,'All Expenses'!$D$4:$D$1048576,'Jan - March Budget'!O28,'All Expenses'!$B$4:$B$1048576, "&gt;=" &amp; DATE(YEAR(TODAY()),3,1),'All Expenses'!$B$4:$B$1048576, "&lt;=" &amp; DATE(YEAR(TODAY()),3,30))</f>
        <v>0</v>
      </c>
      <c r="Q28" s="27">
        <f ca="1">SUMIFS('All Expenses'!$F$4:$F$1048576,'All Expenses'!$D$4:$D$1048576,'Jan - March Budget'!O28,'All Expenses'!$B$4:$B$1048576, "&gt;=" &amp; DATE(YEAR(TODAY()),3,1),'All Expenses'!$B$4:$B$1048576, "&lt;=" &amp; DATE(YEAR(TODAY()),3,31))</f>
        <v>0</v>
      </c>
    </row>
    <row r="29" spans="1:17">
      <c r="A29" s="24"/>
      <c r="B29" s="25"/>
      <c r="C29" s="25" t="str">
        <v>Student Loans</v>
      </c>
      <c r="D29" s="26">
        <f ca="1">SUMIFS('All Expenses'!$E$4:$E$1048576,'All Expenses'!$D$4:$D$1048576,'Jan - March Budget'!C29,'All Expenses'!$B$4:$B$1048576, "&gt;=" &amp; DATE(YEAR(TODAY()),1,1),'All Expenses'!$B$4:$B$1048576, "&lt;=" &amp; DATE(YEAR(TODAY()),1,31))</f>
        <v>0</v>
      </c>
      <c r="E29" s="39">
        <f>'Loan Sheet'!C10</f>
        <v>26379.748079474539</v>
      </c>
      <c r="G29" s="24"/>
      <c r="H29" s="25"/>
      <c r="I29" s="25" t="str">
        <v>Student Loans</v>
      </c>
      <c r="J29" s="26">
        <f ca="1">SUMIFS('All Expenses'!$E$4:$E$1048576,'All Expenses'!$D$4:$D$1048576,'Jan - March Budget'!I29,'All Expenses'!$B$4:$B$1048576, "&gt;=" &amp; DATE(YEAR(TODAY()),2,1),'All Expenses'!$B$4:$B$1048576, "&lt;=" &amp; DATE(YEAR(TODAY()),2,28))</f>
        <v>0</v>
      </c>
      <c r="K29" s="39">
        <f>'Loan Sheet'!C10</f>
        <v>26379.748079474539</v>
      </c>
      <c r="M29" s="24"/>
      <c r="N29" s="25"/>
      <c r="O29" s="25" t="str">
        <v>Student Loans</v>
      </c>
      <c r="P29" s="26">
        <f ca="1">SUMIFS('All Expenses'!$E$4:$E$1048576,'All Expenses'!$D$4:$D$1048576,'Jan - March Budget'!O29,'All Expenses'!$B$4:$B$1048576, "&gt;=" &amp; DATE(YEAR(TODAY()),3,1),'All Expenses'!$B$4:$B$1048576, "&lt;=" &amp; DATE(YEAR(TODAY()),3,30))</f>
        <v>9636</v>
      </c>
      <c r="Q29" s="39">
        <f>'Loan Sheet'!C10</f>
        <v>26379.748079474539</v>
      </c>
    </row>
    <row r="30" spans="1:17">
      <c r="A30" s="24"/>
      <c r="B30" s="25"/>
      <c r="C30" s="25" t="str">
        <v>Personal Loans</v>
      </c>
      <c r="D30" s="26">
        <f ca="1">SUMIFS('All Expenses'!$E$4:$E$1048576,'All Expenses'!$D$4:$D$1048576,'Jan - March Budget'!C30,'All Expenses'!$B$4:$B$1048576, "&gt;=" &amp; DATE(YEAR(TODAY()),1,1),'All Expenses'!$B$4:$B$1048576, "&lt;=" &amp; DATE(YEAR(TODAY()),1,31))</f>
        <v>9849</v>
      </c>
      <c r="E30" s="27">
        <f ca="1">SUMIFS('All Expenses'!$F$4:$F$1048576,'All Expenses'!$D$4:$D$1048576,'Jan - March Budget'!C30,'All Expenses'!$B$4:$B$1048576, "&gt;=" &amp; DATE(YEAR(TODAY()),1,1),'All Expenses'!$B$4:$B$1048576, "&lt;=" &amp; DATE(YEAR(TODAY()),1,31))</f>
        <v>3787</v>
      </c>
      <c r="G30" s="24"/>
      <c r="H30" s="25"/>
      <c r="I30" s="25" t="str">
        <v>Personal Loans</v>
      </c>
      <c r="J30" s="26">
        <f ca="1">SUMIFS('All Expenses'!$E$4:$E$1048576,'All Expenses'!$D$4:$D$1048576,'Jan - March Budget'!I30,'All Expenses'!$B$4:$B$1048576, "&gt;=" &amp; DATE(YEAR(TODAY()),2,1),'All Expenses'!$B$4:$B$1048576, "&lt;=" &amp; DATE(YEAR(TODAY()),2,28))</f>
        <v>0</v>
      </c>
      <c r="K30" s="27">
        <f ca="1">SUMIFS('All Expenses'!$F$4:$F$1048576,'All Expenses'!$D$4:$D$1048576,'Jan - March Budget'!I30,'All Expenses'!$B$4:$B$1048576, "&gt;=" &amp; DATE(YEAR(TODAY()),2,1),'All Expenses'!$B$4:$B$1048576, "&lt;=" &amp; DATE(YEAR(TODAY()),2,28))</f>
        <v>0</v>
      </c>
      <c r="M30" s="24"/>
      <c r="N30" s="25"/>
      <c r="O30" s="25" t="str">
        <v>Personal Loans</v>
      </c>
      <c r="P30" s="26">
        <f ca="1">SUMIFS('All Expenses'!$E$4:$E$1048576,'All Expenses'!$D$4:$D$1048576,'Jan - March Budget'!O30,'All Expenses'!$B$4:$B$1048576, "&gt;=" &amp; DATE(YEAR(TODAY()),3,1),'All Expenses'!$B$4:$B$1048576, "&lt;=" &amp; DATE(YEAR(TODAY()),3,30))</f>
        <v>6373</v>
      </c>
      <c r="Q30" s="27">
        <f ca="1">SUMIFS('All Expenses'!$F$4:$F$1048576,'All Expenses'!$D$4:$D$1048576,'Jan - March Budget'!O30,'All Expenses'!$B$4:$B$1048576, "&gt;=" &amp; DATE(YEAR(TODAY()),3,1),'All Expenses'!$B$4:$B$1048576, "&lt;=" &amp; DATE(YEAR(TODAY()),3,31))</f>
        <v>7751</v>
      </c>
    </row>
    <row r="31" spans="1:17">
      <c r="A31" s="24"/>
      <c r="B31" s="25"/>
      <c r="C31" s="25" t="str">
        <v>Credit Card Expenses</v>
      </c>
      <c r="D31" s="26">
        <f ca="1">SUMIFS('All Expenses'!$E$4:$E$1048576,'All Expenses'!$D$4:$D$1048576,'Jan - March Budget'!C31,'All Expenses'!$B$4:$B$1048576, "&gt;=" &amp; DATE(YEAR(TODAY()),1,1),'All Expenses'!$B$4:$B$1048576, "&lt;=" &amp; DATE(YEAR(TODAY()),1,31))</f>
        <v>9747</v>
      </c>
      <c r="E31" s="27">
        <f ca="1">SUMIFS('All Expenses'!$F$4:$F$1048576,'All Expenses'!$D$4:$D$1048576,'Jan - March Budget'!C31,'All Expenses'!$B$4:$B$1048576, "&gt;=" &amp; DATE(YEAR(TODAY()),1,1),'All Expenses'!$B$4:$B$1048576, "&lt;=" &amp; DATE(YEAR(TODAY()),1,31))</f>
        <v>7240</v>
      </c>
      <c r="G31" s="24"/>
      <c r="H31" s="25"/>
      <c r="I31" s="25" t="str">
        <v>Credit Card Expenses</v>
      </c>
      <c r="J31" s="26">
        <f ca="1">SUMIFS('All Expenses'!$E$4:$E$1048576,'All Expenses'!$D$4:$D$1048576,'Jan - March Budget'!I31,'All Expenses'!$B$4:$B$1048576, "&gt;=" &amp; DATE(YEAR(TODAY()),2,1),'All Expenses'!$B$4:$B$1048576, "&lt;=" &amp; DATE(YEAR(TODAY()),2,28))</f>
        <v>4815</v>
      </c>
      <c r="K31" s="27">
        <f ca="1">SUMIFS('All Expenses'!$F$4:$F$1048576,'All Expenses'!$D$4:$D$1048576,'Jan - March Budget'!I31,'All Expenses'!$B$4:$B$1048576, "&gt;=" &amp; DATE(YEAR(TODAY()),2,1),'All Expenses'!$B$4:$B$1048576, "&lt;=" &amp; DATE(YEAR(TODAY()),2,28))</f>
        <v>9637</v>
      </c>
      <c r="M31" s="24"/>
      <c r="N31" s="25"/>
      <c r="O31" s="25" t="str">
        <v>Credit Card Expenses</v>
      </c>
      <c r="P31" s="26">
        <f ca="1">SUMIFS('All Expenses'!$E$4:$E$1048576,'All Expenses'!$D$4:$D$1048576,'Jan - March Budget'!O31,'All Expenses'!$B$4:$B$1048576, "&gt;=" &amp; DATE(YEAR(TODAY()),3,1),'All Expenses'!$B$4:$B$1048576, "&lt;=" &amp; DATE(YEAR(TODAY()),3,30))</f>
        <v>0</v>
      </c>
      <c r="Q31" s="27">
        <f ca="1">SUMIFS('All Expenses'!$F$4:$F$1048576,'All Expenses'!$D$4:$D$1048576,'Jan - March Budget'!O31,'All Expenses'!$B$4:$B$1048576, "&gt;=" &amp; DATE(YEAR(TODAY()),3,1),'All Expenses'!$B$4:$B$1048576, "&lt;=" &amp; DATE(YEAR(TODAY()),3,31))</f>
        <v>0</v>
      </c>
    </row>
    <row r="32" spans="1:17">
      <c r="A32" s="24"/>
      <c r="B32" s="25"/>
      <c r="C32" s="25" t="str">
        <v xml:space="preserve">Clothing </v>
      </c>
      <c r="D32" s="26">
        <f ca="1">SUMIFS('All Expenses'!$E$4:$E$1048576,'All Expenses'!$D$4:$D$1048576,'Jan - March Budget'!C32,'All Expenses'!$B$4:$B$1048576, "&gt;=" &amp; DATE(YEAR(TODAY()),1,1),'All Expenses'!$B$4:$B$1048576, "&lt;=" &amp; DATE(YEAR(TODAY()),1,31))</f>
        <v>9773</v>
      </c>
      <c r="E32" s="27">
        <f ca="1">SUMIFS('All Expenses'!$F$4:$F$1048576,'All Expenses'!$D$4:$D$1048576,'Jan - March Budget'!C32,'All Expenses'!$B$4:$B$1048576, "&gt;=" &amp; DATE(YEAR(TODAY()),1,1),'All Expenses'!$B$4:$B$1048576, "&lt;=" &amp; DATE(YEAR(TODAY()),1,31))</f>
        <v>3823</v>
      </c>
      <c r="G32" s="24"/>
      <c r="H32" s="25"/>
      <c r="I32" s="25" t="str">
        <v xml:space="preserve">Clothing </v>
      </c>
      <c r="J32" s="26">
        <f ca="1">SUMIFS('All Expenses'!$E$4:$E$1048576,'All Expenses'!$D$4:$D$1048576,'Jan - March Budget'!I32,'All Expenses'!$B$4:$B$1048576, "&gt;=" &amp; DATE(YEAR(TODAY()),2,1),'All Expenses'!$B$4:$B$1048576, "&lt;=" &amp; DATE(YEAR(TODAY()),2,28))</f>
        <v>0</v>
      </c>
      <c r="K32" s="27">
        <f ca="1">SUMIFS('All Expenses'!$F$4:$F$1048576,'All Expenses'!$D$4:$D$1048576,'Jan - March Budget'!I32,'All Expenses'!$B$4:$B$1048576, "&gt;=" &amp; DATE(YEAR(TODAY()),2,1),'All Expenses'!$B$4:$B$1048576, "&lt;=" &amp; DATE(YEAR(TODAY()),2,28))</f>
        <v>0</v>
      </c>
      <c r="M32" s="24"/>
      <c r="N32" s="25"/>
      <c r="O32" s="25" t="str">
        <v xml:space="preserve">Clothing </v>
      </c>
      <c r="P32" s="26">
        <f ca="1">SUMIFS('All Expenses'!$E$4:$E$1048576,'All Expenses'!$D$4:$D$1048576,'Jan - March Budget'!O32,'All Expenses'!$B$4:$B$1048576, "&gt;=" &amp; DATE(YEAR(TODAY()),3,1),'All Expenses'!$B$4:$B$1048576, "&lt;=" &amp; DATE(YEAR(TODAY()),3,30))</f>
        <v>0</v>
      </c>
      <c r="Q32" s="27">
        <f ca="1">SUMIFS('All Expenses'!$F$4:$F$1048576,'All Expenses'!$D$4:$D$1048576,'Jan - March Budget'!O32,'All Expenses'!$B$4:$B$1048576, "&gt;=" &amp; DATE(YEAR(TODAY()),3,1),'All Expenses'!$B$4:$B$1048576, "&lt;=" &amp; DATE(YEAR(TODAY()),3,31))</f>
        <v>0</v>
      </c>
    </row>
    <row r="33" spans="1:17">
      <c r="A33" s="24"/>
      <c r="B33" s="25"/>
      <c r="C33" s="25" t="str">
        <v>Well Being</v>
      </c>
      <c r="D33" s="26">
        <f ca="1">SUMIFS('All Expenses'!$E$4:$E$1048576,'All Expenses'!$D$4:$D$1048576,'Jan - March Budget'!C33,'All Expenses'!$B$4:$B$1048576, "&gt;=" &amp; DATE(YEAR(TODAY()),1,1),'All Expenses'!$B$4:$B$1048576, "&lt;=" &amp; DATE(YEAR(TODAY()),1,31))</f>
        <v>0</v>
      </c>
      <c r="E33" s="27">
        <f ca="1">SUMIFS('All Expenses'!$F$4:$F$1048576,'All Expenses'!$D$4:$D$1048576,'Jan - March Budget'!C33,'All Expenses'!$B$4:$B$1048576, "&gt;=" &amp; DATE(YEAR(TODAY()),1,1),'All Expenses'!$B$4:$B$1048576, "&lt;=" &amp; DATE(YEAR(TODAY()),1,31))</f>
        <v>0</v>
      </c>
      <c r="G33" s="24"/>
      <c r="H33" s="25"/>
      <c r="I33" s="25" t="str">
        <v>Well Being</v>
      </c>
      <c r="J33" s="26">
        <f ca="1">SUMIFS('All Expenses'!$E$4:$E$1048576,'All Expenses'!$D$4:$D$1048576,'Jan - March Budget'!I33,'All Expenses'!$B$4:$B$1048576, "&gt;=" &amp; DATE(YEAR(TODAY()),2,1),'All Expenses'!$B$4:$B$1048576, "&lt;=" &amp; DATE(YEAR(TODAY()),2,28))</f>
        <v>9765</v>
      </c>
      <c r="K33" s="27">
        <f ca="1">SUMIFS('All Expenses'!$F$4:$F$1048576,'All Expenses'!$D$4:$D$1048576,'Jan - March Budget'!I33,'All Expenses'!$B$4:$B$1048576, "&gt;=" &amp; DATE(YEAR(TODAY()),2,1),'All Expenses'!$B$4:$B$1048576, "&lt;=" &amp; DATE(YEAR(TODAY()),2,28))</f>
        <v>6565</v>
      </c>
      <c r="M33" s="24"/>
      <c r="N33" s="25"/>
      <c r="O33" s="25" t="str">
        <v>Well Being</v>
      </c>
      <c r="P33" s="26">
        <f ca="1">SUMIFS('All Expenses'!$E$4:$E$1048576,'All Expenses'!$D$4:$D$1048576,'Jan - March Budget'!O33,'All Expenses'!$B$4:$B$1048576, "&gt;=" &amp; DATE(YEAR(TODAY()),3,1),'All Expenses'!$B$4:$B$1048576, "&lt;=" &amp; DATE(YEAR(TODAY()),3,30))</f>
        <v>0</v>
      </c>
      <c r="Q33" s="27">
        <f ca="1">SUMIFS('All Expenses'!$F$4:$F$1048576,'All Expenses'!$D$4:$D$1048576,'Jan - March Budget'!O33,'All Expenses'!$B$4:$B$1048576, "&gt;=" &amp; DATE(YEAR(TODAY()),3,1),'All Expenses'!$B$4:$B$1048576, "&lt;=" &amp; DATE(YEAR(TODAY()),3,31))</f>
        <v>0</v>
      </c>
    </row>
    <row r="34" spans="1:17">
      <c r="A34" s="24"/>
      <c r="B34" s="25"/>
      <c r="C34" s="25" t="str">
        <v>Personal Hygiene</v>
      </c>
      <c r="D34" s="26">
        <f ca="1">SUMIFS('All Expenses'!$E$4:$E$1048576,'All Expenses'!$D$4:$D$1048576,'Jan - March Budget'!C34,'All Expenses'!$B$4:$B$1048576, "&gt;=" &amp; DATE(YEAR(TODAY()),1,1),'All Expenses'!$B$4:$B$1048576, "&lt;=" &amp; DATE(YEAR(TODAY()),1,31))</f>
        <v>0</v>
      </c>
      <c r="E34" s="27">
        <f ca="1">SUMIFS('All Expenses'!$F$4:$F$1048576,'All Expenses'!$D$4:$D$1048576,'Jan - March Budget'!C34,'All Expenses'!$B$4:$B$1048576, "&gt;=" &amp; DATE(YEAR(TODAY()),1,1),'All Expenses'!$B$4:$B$1048576, "&lt;=" &amp; DATE(YEAR(TODAY()),1,31))</f>
        <v>0</v>
      </c>
      <c r="G34" s="24"/>
      <c r="H34" s="25"/>
      <c r="I34" s="25" t="str">
        <v>Personal Hygiene</v>
      </c>
      <c r="J34" s="26">
        <f ca="1">SUMIFS('All Expenses'!$E$4:$E$1048576,'All Expenses'!$D$4:$D$1048576,'Jan - March Budget'!I34,'All Expenses'!$B$4:$B$1048576, "&gt;=" &amp; DATE(YEAR(TODAY()),2,1),'All Expenses'!$B$4:$B$1048576, "&lt;=" &amp; DATE(YEAR(TODAY()),2,28))</f>
        <v>0</v>
      </c>
      <c r="K34" s="27">
        <f ca="1">SUMIFS('All Expenses'!$F$4:$F$1048576,'All Expenses'!$D$4:$D$1048576,'Jan - March Budget'!I34,'All Expenses'!$B$4:$B$1048576, "&gt;=" &amp; DATE(YEAR(TODAY()),2,1),'All Expenses'!$B$4:$B$1048576, "&lt;=" &amp; DATE(YEAR(TODAY()),2,28))</f>
        <v>0</v>
      </c>
      <c r="M34" s="24"/>
      <c r="N34" s="25"/>
      <c r="O34" s="25" t="str">
        <v>Personal Hygiene</v>
      </c>
      <c r="P34" s="26">
        <f ca="1">SUMIFS('All Expenses'!$E$4:$E$1048576,'All Expenses'!$D$4:$D$1048576,'Jan - March Budget'!O34,'All Expenses'!$B$4:$B$1048576, "&gt;=" &amp; DATE(YEAR(TODAY()),3,1),'All Expenses'!$B$4:$B$1048576, "&lt;=" &amp; DATE(YEAR(TODAY()),3,30))</f>
        <v>7499</v>
      </c>
      <c r="Q34" s="27">
        <f ca="1">SUMIFS('All Expenses'!$F$4:$F$1048576,'All Expenses'!$D$4:$D$1048576,'Jan - March Budget'!O34,'All Expenses'!$B$4:$B$1048576, "&gt;=" &amp; DATE(YEAR(TODAY()),3,1),'All Expenses'!$B$4:$B$1048576, "&lt;=" &amp; DATE(YEAR(TODAY()),3,31))</f>
        <v>8066</v>
      </c>
    </row>
    <row r="35" spans="1:17" ht="15.75" thickBot="1">
      <c r="A35" s="28"/>
      <c r="B35" s="29"/>
      <c r="C35" s="29" t="str">
        <v>Misc.</v>
      </c>
      <c r="D35" s="30">
        <f ca="1">SUMIFS('All Expenses'!$E$4:$E$1048576,'All Expenses'!$D$4:$D$1048576,'Jan - March Budget'!C35,'All Expenses'!$B$4:$B$1048576, "&gt;=" &amp; DATE(YEAR(TODAY()),1,1),'All Expenses'!$B$4:$B$1048576, "&lt;=" &amp; DATE(YEAR(TODAY()),1,31))</f>
        <v>5868</v>
      </c>
      <c r="E35" s="31">
        <f ca="1">SUMIFS('All Expenses'!$F$4:$F$1048576,'All Expenses'!$D$4:$D$1048576,'Jan - March Budget'!C35,'All Expenses'!$B$4:$B$1048576, "&gt;=" &amp; DATE(YEAR(TODAY()),1,1),'All Expenses'!$B$4:$B$1048576, "&lt;=" &amp; DATE(YEAR(TODAY()),1,31))</f>
        <v>8284</v>
      </c>
      <c r="G35" s="28"/>
      <c r="H35" s="29"/>
      <c r="I35" s="29" t="str">
        <v>Misc.</v>
      </c>
      <c r="J35" s="30">
        <f ca="1">SUMIFS('All Expenses'!$E$4:$E$1048576,'All Expenses'!$D$4:$D$1048576,'Jan - March Budget'!I35,'All Expenses'!$B$4:$B$1048576, "&gt;=" &amp; DATE(YEAR(TODAY()),2,1),'All Expenses'!$B$4:$B$1048576, "&lt;=" &amp; DATE(YEAR(TODAY()),2,28))</f>
        <v>0</v>
      </c>
      <c r="K35" s="31">
        <f ca="1">SUMIFS('All Expenses'!$F$4:$F$1048576,'All Expenses'!$D$4:$D$1048576,'Jan - March Budget'!I35,'All Expenses'!$B$4:$B$1048576, "&gt;=" &amp; DATE(YEAR(TODAY()),2,1),'All Expenses'!$B$4:$B$1048576, "&lt;=" &amp; DATE(YEAR(TODAY()),2,28))</f>
        <v>0</v>
      </c>
      <c r="M35" s="28"/>
      <c r="N35" s="29"/>
      <c r="O35" s="29" t="str">
        <v>Misc.</v>
      </c>
      <c r="P35" s="30">
        <f ca="1">SUMIFS('All Expenses'!$E$4:$E$1048576,'All Expenses'!$D$4:$D$1048576,'Jan - March Budget'!O35,'All Expenses'!$B$4:$B$1048576, "&gt;=" &amp; DATE(YEAR(TODAY()),3,1),'All Expenses'!$B$4:$B$1048576, "&lt;=" &amp; DATE(YEAR(TODAY()),3,30))</f>
        <v>0</v>
      </c>
      <c r="Q35" s="31">
        <f ca="1">SUMIFS('All Expenses'!$F$4:$F$1048576,'All Expenses'!$D$4:$D$1048576,'Jan - March Budget'!O35,'All Expenses'!$B$4:$B$1048576, "&gt;=" &amp; DATE(YEAR(TODAY()),3,1),'All Expenses'!$B$4:$B$1048576, "&lt;=" &amp; DATE(YEAR(TODAY()),3,31))</f>
        <v>0</v>
      </c>
    </row>
  </sheetData>
  <scenarios current="0" show="0">
    <scenario name="What if Leisure Expenses were 0 " locked="1" count="7" user="Windows User" comment="Created by Windows User on 3/5/2025">
      <inputCells r="D22" val="0"/>
      <inputCells r="D23" val="0"/>
      <inputCells r="D24" val="0"/>
      <inputCells r="D25" val="0"/>
      <inputCells r="D26" val="0"/>
      <inputCells r="D27" val="0"/>
      <inputCells r="D28" val="0"/>
    </scenario>
  </scenarios>
  <mergeCells count="4">
    <mergeCell ref="A4:E4"/>
    <mergeCell ref="G4:K4"/>
    <mergeCell ref="M4:Q4"/>
    <mergeCell ref="A1:Q1"/>
  </mergeCells>
  <conditionalFormatting sqref="D7:D35">
    <cfRule type="expression" dxfId="6" priority="3">
      <formula>D7&gt;E7</formula>
    </cfRule>
  </conditionalFormatting>
  <conditionalFormatting sqref="J7:J35">
    <cfRule type="expression" dxfId="5" priority="2">
      <formula>J7&gt;K7</formula>
    </cfRule>
  </conditionalFormatting>
  <conditionalFormatting sqref="P7:P35">
    <cfRule type="expression" dxfId="4" priority="1">
      <formula>P7&gt;Q7</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261BD-549A-4614-81D4-4F9425FD3716}">
  <sheetPr codeName="Sheet6"/>
  <dimension ref="A1:Q36"/>
  <sheetViews>
    <sheetView zoomScale="72" zoomScaleNormal="70" workbookViewId="0">
      <selection activeCell="K7" sqref="K7"/>
    </sheetView>
  </sheetViews>
  <sheetFormatPr defaultColWidth="8.75" defaultRowHeight="14.25"/>
  <cols>
    <col min="1" max="1" width="20.75" style="6" bestFit="1" customWidth="1"/>
    <col min="2" max="2" width="14.375" style="6" bestFit="1" customWidth="1"/>
    <col min="3" max="3" width="24.25" style="6" bestFit="1" customWidth="1"/>
    <col min="4" max="4" width="15" style="6" bestFit="1" customWidth="1"/>
    <col min="5" max="5" width="13.375" style="6" bestFit="1" customWidth="1"/>
    <col min="6" max="6" width="8.75" style="6"/>
    <col min="7" max="7" width="20.75" style="6" bestFit="1" customWidth="1"/>
    <col min="8" max="8" width="14.375" style="6" bestFit="1" customWidth="1"/>
    <col min="9" max="9" width="24.25" style="6" bestFit="1" customWidth="1"/>
    <col min="10" max="10" width="15" style="6" bestFit="1" customWidth="1"/>
    <col min="11" max="11" width="13.625" style="6" bestFit="1" customWidth="1"/>
    <col min="12" max="12" width="8.75" style="6"/>
    <col min="13" max="13" width="20.75" style="6" bestFit="1" customWidth="1"/>
    <col min="14" max="14" width="14.375" style="6" bestFit="1" customWidth="1"/>
    <col min="15" max="15" width="24.25" style="6" bestFit="1" customWidth="1"/>
    <col min="16" max="16" width="15" style="6" bestFit="1" customWidth="1"/>
    <col min="17" max="17" width="13.625" style="6" bestFit="1" customWidth="1"/>
    <col min="18" max="16384" width="8.75" style="6"/>
  </cols>
  <sheetData>
    <row r="1" spans="1:17" s="38" customFormat="1" ht="30">
      <c r="A1" s="72" t="s">
        <v>75</v>
      </c>
      <c r="B1" s="72"/>
      <c r="C1" s="72"/>
      <c r="D1" s="72"/>
      <c r="E1" s="72"/>
      <c r="F1" s="72"/>
      <c r="G1" s="72"/>
      <c r="H1" s="72"/>
      <c r="I1" s="72"/>
      <c r="J1" s="72"/>
      <c r="K1" s="72"/>
      <c r="L1" s="72"/>
      <c r="M1" s="72"/>
      <c r="N1" s="72"/>
      <c r="O1" s="72"/>
      <c r="P1" s="72"/>
      <c r="Q1" s="72"/>
    </row>
    <row r="2" spans="1:17" s="38" customFormat="1" ht="15"/>
    <row r="3" spans="1:17" s="38" customFormat="1" ht="15"/>
    <row r="4" spans="1:17" s="38" customFormat="1" ht="28.5" thickBot="1">
      <c r="A4" s="71" t="s">
        <v>73</v>
      </c>
      <c r="B4" s="71"/>
      <c r="C4" s="71"/>
      <c r="D4" s="71"/>
      <c r="E4" s="71"/>
      <c r="G4" s="71" t="s">
        <v>46</v>
      </c>
      <c r="H4" s="71"/>
      <c r="I4" s="71"/>
      <c r="J4" s="71"/>
      <c r="K4" s="71"/>
      <c r="M4" s="71" t="s">
        <v>74</v>
      </c>
      <c r="N4" s="71"/>
      <c r="O4" s="71"/>
      <c r="P4" s="71"/>
      <c r="Q4" s="71"/>
    </row>
    <row r="5" spans="1:17" s="38" customFormat="1" ht="18" thickBot="1">
      <c r="A5" s="14" t="s">
        <v>68</v>
      </c>
      <c r="B5" s="37">
        <f ca="1">SUM(B7:B1048576)</f>
        <v>100000</v>
      </c>
      <c r="C5" s="15" t="s">
        <v>69</v>
      </c>
      <c r="D5" s="35">
        <f ca="1">SUM(D7:D1048576)</f>
        <v>68065</v>
      </c>
      <c r="E5" s="36">
        <f ca="1">SUM(E7:E1048576)</f>
        <v>57319</v>
      </c>
      <c r="G5" s="14" t="s">
        <v>68</v>
      </c>
      <c r="H5" s="16">
        <f ca="1">SUM(H7:H1048576)</f>
        <v>130000</v>
      </c>
      <c r="I5" s="15" t="s">
        <v>69</v>
      </c>
      <c r="J5" s="35">
        <f ca="1">SUM(J7:J1048576)</f>
        <v>71873</v>
      </c>
      <c r="K5" s="35">
        <f ca="1">SUM(K7:K1048576)</f>
        <v>93262</v>
      </c>
      <c r="M5" s="14" t="s">
        <v>68</v>
      </c>
      <c r="N5" s="37">
        <f ca="1">SUM(N7:N1048576)</f>
        <v>120000</v>
      </c>
      <c r="O5" s="15" t="s">
        <v>69</v>
      </c>
      <c r="P5" s="35">
        <f ca="1">SUM(P7:P1048576)</f>
        <v>52289</v>
      </c>
      <c r="Q5" s="35">
        <f ca="1">SUM(Q7:Q1048576)</f>
        <v>70799</v>
      </c>
    </row>
    <row r="6" spans="1:17" s="38" customFormat="1" ht="15.75" thickBot="1">
      <c r="A6" s="32" t="s">
        <v>51</v>
      </c>
      <c r="B6" s="33"/>
      <c r="C6" s="33" t="s">
        <v>50</v>
      </c>
      <c r="D6" s="33" t="s">
        <v>70</v>
      </c>
      <c r="E6" s="34" t="s">
        <v>71</v>
      </c>
      <c r="G6" s="17" t="s">
        <v>51</v>
      </c>
      <c r="H6" s="18"/>
      <c r="I6" s="18" t="s">
        <v>50</v>
      </c>
      <c r="J6" s="18"/>
      <c r="K6" s="19"/>
      <c r="M6" s="17" t="s">
        <v>51</v>
      </c>
      <c r="N6" s="18"/>
      <c r="O6" s="18" t="s">
        <v>50</v>
      </c>
      <c r="P6" s="18"/>
      <c r="Q6" s="19"/>
    </row>
    <row r="7" spans="1:17" s="38" customFormat="1" ht="15.75" thickBot="1">
      <c r="A7" s="20" t="str" cm="1">
        <f t="array" aca="1" ref="A7:A10" ca="1">OFFSET(Categories!J3:J22,0,0,COUNTA(Categories!J3:J18),1)</f>
        <v>Dividend</v>
      </c>
      <c r="B7" s="22">
        <f ca="1">SUMIFS(Income!$E$4:$E$1048576,Income!$C$4:$C$1048576, 'April - June Budget '!A7,Income!$B$4:$B$1048576, "&gt;=" &amp; DATE(YEAR(TODAY()),4,1),Income!$B$4:$B$1048576, "&lt;=" &amp; DATE(YEAR(TODAY()),4,30))</f>
        <v>0</v>
      </c>
      <c r="C7" s="21" t="str" cm="1">
        <f t="array" ref="C7:C35">_xlfn._xlws.FILTER(_xlfn.VSTACK(Categories!$B$3:$B$20,Categories!$C$3:$C$22,Categories!$D$3:$D$22,Categories!$E$3:$E$21,Categories!$F$3:$F$20,Categories!$G$3:$G$20,Categories!$H$3:$H$22,Categories!$I$3:$I$21),_xlfn.VSTACK(Categories!$B$3:$B$20,Categories!$C$3:$C$22,Categories!$D$3:$D$22,Categories!$E$3:$E$21,Categories!$F$3:$F$20,Categories!$G$3:$G$20,Categories!$H$3:$H$22,Categories!$I$3:$I$21)&lt;&gt;"")</f>
        <v>Rent</v>
      </c>
      <c r="D7" s="22">
        <f ca="1">SUMIFS('All Expenses'!$E$4:$E$1048576,'All Expenses'!$D$4:$D$1048576,'April - June Budget '!C7,'All Expenses'!$B$4:$B$1048576, "&gt;=" &amp; DATE(YEAR(TODAY()),4,1),'All Expenses'!$B$4:$B$1048576, "&lt;=" &amp; DATE(YEAR(TODAY()),4,30))</f>
        <v>3891</v>
      </c>
      <c r="E7" s="23">
        <f ca="1">SUMIFS('All Expenses'!$F$4:$F$1048576,'All Expenses'!$D$4:$D$1048576,'April - June Budget '!C7,'All Expenses'!$B$4:$B$1048576, "&gt;=" &amp; DATE(YEAR(TODAY()),4,1),'All Expenses'!$B$4:$B$1048576, "&lt;=" &amp; DATE(YEAR(TODAY()),4,30))</f>
        <v>4564</v>
      </c>
      <c r="G7" s="20" t="str" cm="1">
        <f t="array" aca="1" ref="G7:G10" ca="1">OFFSET(Categories!$J$3:$J$22,0,0,COUNTA(Categories!$J$3:$J$18),1)</f>
        <v>Dividend</v>
      </c>
      <c r="H7" s="22">
        <f ca="1">SUMIFS(Income!$E$4:$E$1048576,Income!$C$4:$C$1048576, 'April - June Budget '!G7,Income!$B$4:$B$1048576, "&gt;=" &amp; DATE(YEAR(TODAY()),5,1),Income!$B$4:$B$1048576, "&lt;=" &amp; DATE(YEAR(TODAY()),5,31))</f>
        <v>0</v>
      </c>
      <c r="I7" s="21" t="str" cm="1">
        <f t="array" ref="I7:I35">_xlfn._xlws.FILTER(_xlfn.VSTACK(Categories!$B$3:$B$20,Categories!$C$3:$C$22,Categories!$D$3:$D$22,Categories!$E$3:$E$21,Categories!$F$3:$F$20,Categories!$G$3:$G$20,Categories!$H$3:$H$22,Categories!$I$3:$I$21),_xlfn.VSTACK(Categories!$B$3:$B$20,Categories!$C$3:$C$22,Categories!$D$3:$D$22,Categories!$E$3:$E$21,Categories!$F$3:$F$20,Categories!$G$3:$G$20,Categories!$H$3:$H$22,Categories!$I$3:$I$21)&lt;&gt;"")</f>
        <v>Rent</v>
      </c>
      <c r="J7" s="22">
        <f ca="1">SUMIFS('All Expenses'!$E$4:$E$1048576,'All Expenses'!$D$4:$D$1048576,'April - June Budget '!I7,'All Expenses'!$B$4:$B$1048576, "&gt;=" &amp; DATE(YEAR(TODAY()),5,1),'All Expenses'!$B$4:$B$1048576, "&lt;=" &amp; DATE(YEAR(TODAY()),5,31))</f>
        <v>9246</v>
      </c>
      <c r="K7" s="23">
        <f ca="1">SUMIFS('All Expenses'!$F$4:$F$1048576,'All Expenses'!$D$4:$D$1048576,'April - June Budget '!I7,'All Expenses'!$B$4:$B$1048576, "&gt;=" &amp; DATE(YEAR(TODAY()),5,1),'All Expenses'!$B$4:$B$1048576, "&lt;=" &amp; DATE(YEAR(TODAY()),5,31))</f>
        <v>3756</v>
      </c>
      <c r="M7" s="20" t="str" cm="1">
        <f t="array" aca="1" ref="M7:M10" ca="1">OFFSET(Categories!$J$3:$J$22,0,0,COUNTA(Categories!$J$3:$J$18),1)</f>
        <v>Dividend</v>
      </c>
      <c r="N7" s="22">
        <f ca="1">SUMIFS(Income!$E$4:$E$1048576,Income!$C$4:$C$1048576, 'April - June Budget '!M7,Income!$B$4:$B$1048576, "&gt;=" &amp; DATE(YEAR(TODAY()),6,1),Income!$B$4:$B$1048576, "&lt;=" &amp; DATE(YEAR(TODAY()),6,30))</f>
        <v>0</v>
      </c>
      <c r="O7" s="21" t="str" cm="1">
        <f t="array" ref="O7:O35">_xlfn._xlws.FILTER(_xlfn.VSTACK(Categories!$B$3:$B$20,Categories!$C$3:$C$22,Categories!$D$3:$D$22,Categories!$E$3:$E$21,Categories!$F$3:$F$20,Categories!$G$3:$G$20,Categories!$H$3:$H$22,Categories!$I$3:$I$21),_xlfn.VSTACK(Categories!$B$3:$B$20,Categories!$C$3:$C$22,Categories!$D$3:$D$22,Categories!$E$3:$E$21,Categories!$F$3:$F$20,Categories!$G$3:$G$20,Categories!$H$3:$H$22,Categories!$I$3:$I$21)&lt;&gt;"")</f>
        <v>Rent</v>
      </c>
      <c r="P7" s="22">
        <f ca="1">SUMIFS('All Expenses'!$E$4:$E$1048576,'All Expenses'!$D$4:$D$1048576,'April - June Budget '!O7,'All Expenses'!$B$4:$B$1048576, "&gt;=" &amp; DATE(YEAR(TODAY()),6,1),'All Expenses'!$B$4:$B$1048576, "&lt;=" &amp; DATE(YEAR(TODAY()),6,30))</f>
        <v>0</v>
      </c>
      <c r="Q7" s="23">
        <f ca="1">SUMIFS('All Expenses'!$F$4:$F$1048576,'All Expenses'!$D$4:$D$1048576,'April - June Budget '!O7,'All Expenses'!$B$4:$B$1048576, "&gt;=" &amp; DATE(YEAR(TODAY()),6,1),'All Expenses'!$B$4:$B$1048576, "&lt;=" &amp; DATE(YEAR(TODAY()),6,30))</f>
        <v>0</v>
      </c>
    </row>
    <row r="8" spans="1:17" s="38" customFormat="1" ht="15.75" thickBot="1">
      <c r="A8" s="24" t="str">
        <f ca="1"/>
        <v>Salary</v>
      </c>
      <c r="B8" s="22">
        <f ca="1">SUMIFS(Income!$E$4:$E$1048576,Income!$C$4:$C$1048576, 'April - June Budget '!A8,Income!$B$4:$B$1048576, "&gt;=" &amp; DATE(YEAR(TODAY()),4,1),Income!$B$4:$B$1048576, "&lt;=" &amp; DATE(YEAR(TODAY()),4,30))</f>
        <v>100000</v>
      </c>
      <c r="C8" s="25" t="str">
        <v>Mortgage Payments</v>
      </c>
      <c r="D8" s="22">
        <f ca="1">SUMIFS('All Expenses'!$E$4:$E$1048576,'All Expenses'!$D$4:$D$1048576,'April - June Budget '!C8,'All Expenses'!$B$4:$B$1048576, "&gt;=" &amp; DATE(YEAR(TODAY()),4,1),'All Expenses'!$B$4:$B$1048576, "&lt;=" &amp; DATE(YEAR(TODAY()),4,30))</f>
        <v>2217</v>
      </c>
      <c r="E8" s="23">
        <f ca="1">SUMIFS('All Expenses'!$F$4:$F$1048576,'All Expenses'!$D$4:$D$1048576,'April - June Budget '!C8,'All Expenses'!$B$4:$B$1048576, "&gt;=" &amp; DATE(YEAR(TODAY()),4,1),'All Expenses'!$B$4:$B$1048576, "&lt;=" &amp; DATE(YEAR(TODAY()),4,30))</f>
        <v>9374</v>
      </c>
      <c r="G8" s="24" t="str">
        <f ca="1"/>
        <v>Salary</v>
      </c>
      <c r="H8" s="22">
        <f ca="1">SUMIFS(Income!$E$4:$E$1048576,Income!$C$4:$C$1048576, 'April - June Budget '!G8,Income!$B$4:$B$1048576, "&gt;=" &amp; DATE(YEAR(TODAY()),5,1),Income!$B$4:$B$1048576, "&lt;=" &amp; DATE(YEAR(TODAY()),5,31))</f>
        <v>130000</v>
      </c>
      <c r="I8" s="25" t="str">
        <v>Mortgage Payments</v>
      </c>
      <c r="J8" s="22">
        <f ca="1">SUMIFS('All Expenses'!$E$4:$E$1048576,'All Expenses'!$D$4:$D$1048576,'April - June Budget '!I8,'All Expenses'!$B$4:$B$1048576, "&gt;=" &amp; DATE(YEAR(TODAY()),5,1),'All Expenses'!$B$4:$B$1048576, "&lt;=" &amp; DATE(YEAR(TODAY()),5,31))</f>
        <v>9768</v>
      </c>
      <c r="K8" s="23">
        <f ca="1">SUMIFS('All Expenses'!$F$4:$F$1048576,'All Expenses'!$D$4:$D$1048576,'April - June Budget '!I8,'All Expenses'!$B$4:$B$1048576, "&gt;=" &amp; DATE(YEAR(TODAY()),5,1),'All Expenses'!$B$4:$B$1048576, "&lt;=" &amp; DATE(YEAR(TODAY()),5,31))</f>
        <v>8271</v>
      </c>
      <c r="M8" s="24" t="str">
        <f ca="1"/>
        <v>Salary</v>
      </c>
      <c r="N8" s="22">
        <f ca="1">SUMIFS(Income!$E$4:$E$1048576,Income!$C$4:$C$1048576, 'April - June Budget '!M8,Income!$B$4:$B$1048576, "&gt;=" &amp; DATE(YEAR(TODAY()),6,1),Income!$B$4:$B$1048576, "&lt;=" &amp; DATE(YEAR(TODAY()),6,30))</f>
        <v>120000</v>
      </c>
      <c r="O8" s="25" t="str">
        <v>Mortgage Payments</v>
      </c>
      <c r="P8" s="22">
        <f ca="1">SUMIFS('All Expenses'!$E$4:$E$1048576,'All Expenses'!$D$4:$D$1048576,'April - June Budget '!O8,'All Expenses'!$B$4:$B$1048576, "&gt;=" &amp; DATE(YEAR(TODAY()),6,1),'All Expenses'!$B$4:$B$1048576, "&lt;=" &amp; DATE(YEAR(TODAY()),6,30))</f>
        <v>746</v>
      </c>
      <c r="Q8" s="23">
        <f ca="1">SUMIFS('All Expenses'!$F$4:$F$1048576,'All Expenses'!$D$4:$D$1048576,'April - June Budget '!O8,'All Expenses'!$B$4:$B$1048576, "&gt;=" &amp; DATE(YEAR(TODAY()),6,1),'All Expenses'!$B$4:$B$1048576, "&lt;=" &amp; DATE(YEAR(TODAY()),6,30))</f>
        <v>4999</v>
      </c>
    </row>
    <row r="9" spans="1:17" s="38" customFormat="1" ht="15.75" thickBot="1">
      <c r="A9" s="24" t="str">
        <f ca="1"/>
        <v>Wages</v>
      </c>
      <c r="B9" s="22">
        <f ca="1">SUMIFS(Income!$E$4:$E$1048576,Income!$C$4:$C$1048576, 'April - June Budget '!A9,Income!$B$4:$B$1048576, "&gt;=" &amp; DATE(YEAR(TODAY()),4,1),Income!$B$4:$B$1048576, "&lt;=" &amp; DATE(YEAR(TODAY()),4,30))</f>
        <v>0</v>
      </c>
      <c r="C9" s="25" t="str">
        <v>Public Transport</v>
      </c>
      <c r="D9" s="22">
        <f ca="1">SUMIFS('All Expenses'!$E$4:$E$1048576,'All Expenses'!$D$4:$D$1048576,'April - June Budget '!C9,'All Expenses'!$B$4:$B$1048576, "&gt;=" &amp; DATE(YEAR(TODAY()),4,1),'All Expenses'!$B$4:$B$1048576, "&lt;=" &amp; DATE(YEAR(TODAY()),4,30))</f>
        <v>0</v>
      </c>
      <c r="E9" s="23">
        <f ca="1">SUMIFS('All Expenses'!$F$4:$F$1048576,'All Expenses'!$D$4:$D$1048576,'April - June Budget '!C9,'All Expenses'!$B$4:$B$1048576, "&gt;=" &amp; DATE(YEAR(TODAY()),4,1),'All Expenses'!$B$4:$B$1048576, "&lt;=" &amp; DATE(YEAR(TODAY()),4,30))</f>
        <v>0</v>
      </c>
      <c r="G9" s="24" t="str">
        <f ca="1"/>
        <v>Wages</v>
      </c>
      <c r="H9" s="22">
        <f ca="1">SUMIFS(Income!$E$4:$E$1048576,Income!$C$4:$C$1048576, 'April - June Budget '!G9,Income!$B$4:$B$1048576, "&gt;=" &amp; DATE(YEAR(TODAY()),5,1),Income!$B$4:$B$1048576, "&lt;=" &amp; DATE(YEAR(TODAY()),5,31))</f>
        <v>0</v>
      </c>
      <c r="I9" s="25" t="str">
        <v>Public Transport</v>
      </c>
      <c r="J9" s="22">
        <f ca="1">SUMIFS('All Expenses'!$E$4:$E$1048576,'All Expenses'!$D$4:$D$1048576,'April - June Budget '!I9,'All Expenses'!$B$4:$B$1048576, "&gt;=" &amp; DATE(YEAR(TODAY()),5,1),'All Expenses'!$B$4:$B$1048576, "&lt;=" &amp; DATE(YEAR(TODAY()),5,31))</f>
        <v>0</v>
      </c>
      <c r="K9" s="23">
        <f ca="1">SUMIFS('All Expenses'!$F$4:$F$1048576,'All Expenses'!$D$4:$D$1048576,'April - June Budget '!I9,'All Expenses'!$B$4:$B$1048576, "&gt;=" &amp; DATE(YEAR(TODAY()),5,1),'All Expenses'!$B$4:$B$1048576, "&lt;=" &amp; DATE(YEAR(TODAY()),5,31))</f>
        <v>0</v>
      </c>
      <c r="M9" s="24" t="str">
        <f ca="1"/>
        <v>Wages</v>
      </c>
      <c r="N9" s="22">
        <f ca="1">SUMIFS(Income!$E$4:$E$1048576,Income!$C$4:$C$1048576, 'April - June Budget '!M9,Income!$B$4:$B$1048576, "&gt;=" &amp; DATE(YEAR(TODAY()),6,1),Income!$B$4:$B$1048576, "&lt;=" &amp; DATE(YEAR(TODAY()),6,30))</f>
        <v>0</v>
      </c>
      <c r="O9" s="25" t="str">
        <v>Public Transport</v>
      </c>
      <c r="P9" s="22">
        <f ca="1">SUMIFS('All Expenses'!$E$4:$E$1048576,'All Expenses'!$D$4:$D$1048576,'April - June Budget '!O9,'All Expenses'!$B$4:$B$1048576, "&gt;=" &amp; DATE(YEAR(TODAY()),6,1),'All Expenses'!$B$4:$B$1048576, "&lt;=" &amp; DATE(YEAR(TODAY()),6,30))</f>
        <v>2442</v>
      </c>
      <c r="Q9" s="23">
        <f ca="1">SUMIFS('All Expenses'!$F$4:$F$1048576,'All Expenses'!$D$4:$D$1048576,'April - June Budget '!O9,'All Expenses'!$B$4:$B$1048576, "&gt;=" &amp; DATE(YEAR(TODAY()),6,1),'All Expenses'!$B$4:$B$1048576, "&lt;=" &amp; DATE(YEAR(TODAY()),6,30))</f>
        <v>9742</v>
      </c>
    </row>
    <row r="10" spans="1:17" s="38" customFormat="1" ht="15.75" thickBot="1">
      <c r="A10" s="24" t="str">
        <f ca="1"/>
        <v>Other</v>
      </c>
      <c r="B10" s="22">
        <f ca="1">SUMIFS(Income!$E$4:$E$1048576,Income!$C$4:$C$1048576, 'April - June Budget '!A10,Income!$B$4:$B$1048576, "&gt;=" &amp; DATE(YEAR(TODAY()),4,1),Income!$B$4:$B$1048576, "&lt;=" &amp; DATE(YEAR(TODAY()),4,30))</f>
        <v>0</v>
      </c>
      <c r="C10" s="25" t="str">
        <v>Vehicle Registration</v>
      </c>
      <c r="D10" s="22">
        <f ca="1">SUMIFS('All Expenses'!$E$4:$E$1048576,'All Expenses'!$D$4:$D$1048576,'April - June Budget '!C10,'All Expenses'!$B$4:$B$1048576, "&gt;=" &amp; DATE(YEAR(TODAY()),4,1),'All Expenses'!$B$4:$B$1048576, "&lt;=" &amp; DATE(YEAR(TODAY()),4,30))</f>
        <v>9690</v>
      </c>
      <c r="E10" s="23">
        <f ca="1">SUMIFS('All Expenses'!$F$4:$F$1048576,'All Expenses'!$D$4:$D$1048576,'April - June Budget '!C10,'All Expenses'!$B$4:$B$1048576, "&gt;=" &amp; DATE(YEAR(TODAY()),4,1),'All Expenses'!$B$4:$B$1048576, "&lt;=" &amp; DATE(YEAR(TODAY()),4,30))</f>
        <v>1196</v>
      </c>
      <c r="G10" s="24" t="str">
        <f ca="1"/>
        <v>Other</v>
      </c>
      <c r="H10" s="22">
        <f ca="1">SUMIFS(Income!$E$4:$E$1048576,Income!$C$4:$C$1048576, 'April - June Budget '!G10,Income!$B$4:$B$1048576, "&gt;=" &amp; DATE(YEAR(TODAY()),5,1),Income!$B$4:$B$1048576, "&lt;=" &amp; DATE(YEAR(TODAY()),5,31))</f>
        <v>0</v>
      </c>
      <c r="I10" s="25" t="str">
        <v>Vehicle Registration</v>
      </c>
      <c r="J10" s="22">
        <f ca="1">SUMIFS('All Expenses'!$E$4:$E$1048576,'All Expenses'!$D$4:$D$1048576,'April - June Budget '!I10,'All Expenses'!$B$4:$B$1048576, "&gt;=" &amp; DATE(YEAR(TODAY()),5,1),'All Expenses'!$B$4:$B$1048576, "&lt;=" &amp; DATE(YEAR(TODAY()),5,31))</f>
        <v>0</v>
      </c>
      <c r="K10" s="23">
        <f ca="1">SUMIFS('All Expenses'!$F$4:$F$1048576,'All Expenses'!$D$4:$D$1048576,'April - June Budget '!I10,'All Expenses'!$B$4:$B$1048576, "&gt;=" &amp; DATE(YEAR(TODAY()),5,1),'All Expenses'!$B$4:$B$1048576, "&lt;=" &amp; DATE(YEAR(TODAY()),5,31))</f>
        <v>0</v>
      </c>
      <c r="M10" s="24" t="str">
        <f ca="1"/>
        <v>Other</v>
      </c>
      <c r="N10" s="22">
        <f ca="1">SUMIFS(Income!$E$4:$E$1048576,Income!$C$4:$C$1048576, 'April - June Budget '!M10,Income!$B$4:$B$1048576, "&gt;=" &amp; DATE(YEAR(TODAY()),6,1),Income!$B$4:$B$1048576, "&lt;=" &amp; DATE(YEAR(TODAY()),6,30))</f>
        <v>0</v>
      </c>
      <c r="O10" s="25" t="str">
        <v>Vehicle Registration</v>
      </c>
      <c r="P10" s="22">
        <f ca="1">SUMIFS('All Expenses'!$E$4:$E$1048576,'All Expenses'!$D$4:$D$1048576,'April - June Budget '!O10,'All Expenses'!$B$4:$B$1048576, "&gt;=" &amp; DATE(YEAR(TODAY()),6,1),'All Expenses'!$B$4:$B$1048576, "&lt;=" &amp; DATE(YEAR(TODAY()),6,30))</f>
        <v>0</v>
      </c>
      <c r="Q10" s="23">
        <f ca="1">SUMIFS('All Expenses'!$F$4:$F$1048576,'All Expenses'!$D$4:$D$1048576,'April - June Budget '!O10,'All Expenses'!$B$4:$B$1048576, "&gt;=" &amp; DATE(YEAR(TODAY()),6,1),'All Expenses'!$B$4:$B$1048576, "&lt;=" &amp; DATE(YEAR(TODAY()),6,30))</f>
        <v>0</v>
      </c>
    </row>
    <row r="11" spans="1:17" s="38" customFormat="1" ht="15.75" thickBot="1">
      <c r="A11" s="24"/>
      <c r="B11" s="26"/>
      <c r="C11" s="25" t="str">
        <v>Fuel</v>
      </c>
      <c r="D11" s="22">
        <f ca="1">SUMIFS('All Expenses'!$E$4:$E$1048576,'All Expenses'!$D$4:$D$1048576,'April - June Budget '!C11,'All Expenses'!$B$4:$B$1048576, "&gt;=" &amp; DATE(YEAR(TODAY()),4,1),'All Expenses'!$B$4:$B$1048576, "&lt;=" &amp; DATE(YEAR(TODAY()),4,30))</f>
        <v>3667</v>
      </c>
      <c r="E11" s="23">
        <f ca="1">SUMIFS('All Expenses'!$F$4:$F$1048576,'All Expenses'!$D$4:$D$1048576,'April - June Budget '!C11,'All Expenses'!$B$4:$B$1048576, "&gt;=" &amp; DATE(YEAR(TODAY()),4,1),'All Expenses'!$B$4:$B$1048576, "&lt;=" &amp; DATE(YEAR(TODAY()),4,30))</f>
        <v>2994</v>
      </c>
      <c r="G11" s="24"/>
      <c r="H11" s="26"/>
      <c r="I11" s="25" t="str">
        <v>Fuel</v>
      </c>
      <c r="J11" s="22">
        <f ca="1">SUMIFS('All Expenses'!$E$4:$E$1048576,'All Expenses'!$D$4:$D$1048576,'April - June Budget '!I11,'All Expenses'!$B$4:$B$1048576, "&gt;=" &amp; DATE(YEAR(TODAY()),5,1),'All Expenses'!$B$4:$B$1048576, "&lt;=" &amp; DATE(YEAR(TODAY()),5,31))</f>
        <v>4977</v>
      </c>
      <c r="K11" s="23">
        <f ca="1">SUMIFS('All Expenses'!$F$4:$F$1048576,'All Expenses'!$D$4:$D$1048576,'April - June Budget '!I11,'All Expenses'!$B$4:$B$1048576, "&gt;=" &amp; DATE(YEAR(TODAY()),5,1),'All Expenses'!$B$4:$B$1048576, "&lt;=" &amp; DATE(YEAR(TODAY()),5,31))</f>
        <v>7829</v>
      </c>
      <c r="M11" s="24"/>
      <c r="N11" s="26"/>
      <c r="O11" s="25" t="str">
        <v>Fuel</v>
      </c>
      <c r="P11" s="22">
        <f ca="1">SUMIFS('All Expenses'!$E$4:$E$1048576,'All Expenses'!$D$4:$D$1048576,'April - June Budget '!O11,'All Expenses'!$B$4:$B$1048576, "&gt;=" &amp; DATE(YEAR(TODAY()),6,1),'All Expenses'!$B$4:$B$1048576, "&lt;=" &amp; DATE(YEAR(TODAY()),6,30))</f>
        <v>0</v>
      </c>
      <c r="Q11" s="23">
        <f ca="1">SUMIFS('All Expenses'!$F$4:$F$1048576,'All Expenses'!$D$4:$D$1048576,'April - June Budget '!O11,'All Expenses'!$B$4:$B$1048576, "&gt;=" &amp; DATE(YEAR(TODAY()),6,1),'All Expenses'!$B$4:$B$1048576, "&lt;=" &amp; DATE(YEAR(TODAY()),6,30))</f>
        <v>0</v>
      </c>
    </row>
    <row r="12" spans="1:17" s="38" customFormat="1" ht="15.75" thickBot="1">
      <c r="A12" s="24"/>
      <c r="B12" s="25"/>
      <c r="C12" s="25" t="str">
        <v>Running Cost</v>
      </c>
      <c r="D12" s="22">
        <f ca="1">SUMIFS('All Expenses'!$E$4:$E$1048576,'All Expenses'!$D$4:$D$1048576,'April - June Budget '!C12,'All Expenses'!$B$4:$B$1048576, "&gt;=" &amp; DATE(YEAR(TODAY()),4,1),'All Expenses'!$B$4:$B$1048576, "&lt;=" &amp; DATE(YEAR(TODAY()),4,30))</f>
        <v>0</v>
      </c>
      <c r="E12" s="23">
        <f ca="1">SUMIFS('All Expenses'!$F$4:$F$1048576,'All Expenses'!$D$4:$D$1048576,'April - June Budget '!C12,'All Expenses'!$B$4:$B$1048576, "&gt;=" &amp; DATE(YEAR(TODAY()),4,1),'All Expenses'!$B$4:$B$1048576, "&lt;=" &amp; DATE(YEAR(TODAY()),4,30))</f>
        <v>0</v>
      </c>
      <c r="G12" s="24"/>
      <c r="H12" s="26"/>
      <c r="I12" s="25" t="str">
        <v>Running Cost</v>
      </c>
      <c r="J12" s="22">
        <f ca="1">SUMIFS('All Expenses'!$E$4:$E$1048576,'All Expenses'!$D$4:$D$1048576,'April - June Budget '!I12,'All Expenses'!$B$4:$B$1048576, "&gt;=" &amp; DATE(YEAR(TODAY()),5,1),'All Expenses'!$B$4:$B$1048576, "&lt;=" &amp; DATE(YEAR(TODAY()),5,31))</f>
        <v>1898</v>
      </c>
      <c r="K12" s="23">
        <f ca="1">SUMIFS('All Expenses'!$F$4:$F$1048576,'All Expenses'!$D$4:$D$1048576,'April - June Budget '!I12,'All Expenses'!$B$4:$B$1048576, "&gt;=" &amp; DATE(YEAR(TODAY()),5,1),'All Expenses'!$B$4:$B$1048576, "&lt;=" &amp; DATE(YEAR(TODAY()),5,31))</f>
        <v>7429</v>
      </c>
      <c r="M12" s="24"/>
      <c r="N12" s="26"/>
      <c r="O12" s="25" t="str">
        <v>Running Cost</v>
      </c>
      <c r="P12" s="22">
        <f ca="1">SUMIFS('All Expenses'!$E$4:$E$1048576,'All Expenses'!$D$4:$D$1048576,'April - June Budget '!O12,'All Expenses'!$B$4:$B$1048576, "&gt;=" &amp; DATE(YEAR(TODAY()),6,1),'All Expenses'!$B$4:$B$1048576, "&lt;=" &amp; DATE(YEAR(TODAY()),6,30))</f>
        <v>4680</v>
      </c>
      <c r="Q12" s="23">
        <f ca="1">SUMIFS('All Expenses'!$F$4:$F$1048576,'All Expenses'!$D$4:$D$1048576,'April - June Budget '!O12,'All Expenses'!$B$4:$B$1048576, "&gt;=" &amp; DATE(YEAR(TODAY()),6,1),'All Expenses'!$B$4:$B$1048576, "&lt;=" &amp; DATE(YEAR(TODAY()),6,30))</f>
        <v>55</v>
      </c>
    </row>
    <row r="13" spans="1:17" s="38" customFormat="1" ht="15.75" thickBot="1">
      <c r="A13" s="24"/>
      <c r="B13" s="25"/>
      <c r="C13" s="25" t="str">
        <v>Meals</v>
      </c>
      <c r="D13" s="22">
        <f ca="1">SUMIFS('All Expenses'!$E$4:$E$1048576,'All Expenses'!$D$4:$D$1048576,'April - June Budget '!C13,'All Expenses'!$B$4:$B$1048576, "&gt;=" &amp; DATE(YEAR(TODAY()),4,1),'All Expenses'!$B$4:$B$1048576, "&lt;=" &amp; DATE(YEAR(TODAY()),4,30))</f>
        <v>8209</v>
      </c>
      <c r="E13" s="23">
        <f ca="1">SUMIFS('All Expenses'!$F$4:$F$1048576,'All Expenses'!$D$4:$D$1048576,'April - June Budget '!C13,'All Expenses'!$B$4:$B$1048576, "&gt;=" &amp; DATE(YEAR(TODAY()),4,1),'All Expenses'!$B$4:$B$1048576, "&lt;=" &amp; DATE(YEAR(TODAY()),4,30))</f>
        <v>5633</v>
      </c>
      <c r="G13" s="24"/>
      <c r="H13" s="26"/>
      <c r="I13" s="25" t="str">
        <v>Meals</v>
      </c>
      <c r="J13" s="22">
        <f ca="1">SUMIFS('All Expenses'!$E$4:$E$1048576,'All Expenses'!$D$4:$D$1048576,'April - June Budget '!I13,'All Expenses'!$B$4:$B$1048576, "&gt;=" &amp; DATE(YEAR(TODAY()),5,1),'All Expenses'!$B$4:$B$1048576, "&lt;=" &amp; DATE(YEAR(TODAY()),5,31))</f>
        <v>4994</v>
      </c>
      <c r="K13" s="23">
        <f ca="1">SUMIFS('All Expenses'!$F$4:$F$1048576,'All Expenses'!$D$4:$D$1048576,'April - June Budget '!I13,'All Expenses'!$B$4:$B$1048576, "&gt;=" &amp; DATE(YEAR(TODAY()),5,1),'All Expenses'!$B$4:$B$1048576, "&lt;=" &amp; DATE(YEAR(TODAY()),5,31))</f>
        <v>8803</v>
      </c>
      <c r="M13" s="24"/>
      <c r="N13" s="26"/>
      <c r="O13" s="25" t="str">
        <v>Meals</v>
      </c>
      <c r="P13" s="22">
        <f ca="1">SUMIFS('All Expenses'!$E$4:$E$1048576,'All Expenses'!$D$4:$D$1048576,'April - June Budget '!O13,'All Expenses'!$B$4:$B$1048576, "&gt;=" &amp; DATE(YEAR(TODAY()),6,1),'All Expenses'!$B$4:$B$1048576, "&lt;=" &amp; DATE(YEAR(TODAY()),6,30))</f>
        <v>4699</v>
      </c>
      <c r="Q13" s="23">
        <f ca="1">SUMIFS('All Expenses'!$F$4:$F$1048576,'All Expenses'!$D$4:$D$1048576,'April - June Budget '!O13,'All Expenses'!$B$4:$B$1048576, "&gt;=" &amp; DATE(YEAR(TODAY()),6,1),'All Expenses'!$B$4:$B$1048576, "&lt;=" &amp; DATE(YEAR(TODAY()),6,30))</f>
        <v>5713</v>
      </c>
    </row>
    <row r="14" spans="1:17" s="38" customFormat="1" ht="15.75" thickBot="1">
      <c r="A14" s="24"/>
      <c r="B14" s="25"/>
      <c r="C14" s="25" t="str">
        <v>Groceries</v>
      </c>
      <c r="D14" s="22">
        <f ca="1">SUMIFS('All Expenses'!$E$4:$E$1048576,'All Expenses'!$D$4:$D$1048576,'April - June Budget '!C14,'All Expenses'!$B$4:$B$1048576, "&gt;=" &amp; DATE(YEAR(TODAY()),4,1),'All Expenses'!$B$4:$B$1048576, "&lt;=" &amp; DATE(YEAR(TODAY()),4,30))</f>
        <v>3601</v>
      </c>
      <c r="E14" s="23">
        <f ca="1">SUMIFS('All Expenses'!$F$4:$F$1048576,'All Expenses'!$D$4:$D$1048576,'April - June Budget '!C14,'All Expenses'!$B$4:$B$1048576, "&gt;=" &amp; DATE(YEAR(TODAY()),4,1),'All Expenses'!$B$4:$B$1048576, "&lt;=" &amp; DATE(YEAR(TODAY()),4,30))</f>
        <v>7176</v>
      </c>
      <c r="G14" s="24"/>
      <c r="H14" s="25"/>
      <c r="I14" s="25" t="str">
        <v>Groceries</v>
      </c>
      <c r="J14" s="22">
        <f ca="1">SUMIFS('All Expenses'!$E$4:$E$1048576,'All Expenses'!$D$4:$D$1048576,'April - June Budget '!I14,'All Expenses'!$B$4:$B$1048576, "&gt;=" &amp; DATE(YEAR(TODAY()),5,1),'All Expenses'!$B$4:$B$1048576, "&lt;=" &amp; DATE(YEAR(TODAY()),5,31))</f>
        <v>9513</v>
      </c>
      <c r="K14" s="23">
        <f ca="1">SUMIFS('All Expenses'!$F$4:$F$1048576,'All Expenses'!$D$4:$D$1048576,'April - June Budget '!I14,'All Expenses'!$B$4:$B$1048576, "&gt;=" &amp; DATE(YEAR(TODAY()),5,1),'All Expenses'!$B$4:$B$1048576, "&lt;=" &amp; DATE(YEAR(TODAY()),5,31))</f>
        <v>6899</v>
      </c>
      <c r="M14" s="24"/>
      <c r="N14" s="25"/>
      <c r="O14" s="25" t="str">
        <v>Groceries</v>
      </c>
      <c r="P14" s="22">
        <f ca="1">SUMIFS('All Expenses'!$E$4:$E$1048576,'All Expenses'!$D$4:$D$1048576,'April - June Budget '!O14,'All Expenses'!$B$4:$B$1048576, "&gt;=" &amp; DATE(YEAR(TODAY()),6,1),'All Expenses'!$B$4:$B$1048576, "&lt;=" &amp; DATE(YEAR(TODAY()),6,30))</f>
        <v>3901</v>
      </c>
      <c r="Q14" s="23">
        <f ca="1">SUMIFS('All Expenses'!$F$4:$F$1048576,'All Expenses'!$D$4:$D$1048576,'April - June Budget '!O14,'All Expenses'!$B$4:$B$1048576, "&gt;=" &amp; DATE(YEAR(TODAY()),6,1),'All Expenses'!$B$4:$B$1048576, "&lt;=" &amp; DATE(YEAR(TODAY()),6,30))</f>
        <v>7802</v>
      </c>
    </row>
    <row r="15" spans="1:17" s="38" customFormat="1" ht="15.75" thickBot="1">
      <c r="A15" s="24"/>
      <c r="B15" s="25"/>
      <c r="C15" s="25" t="str">
        <v>Electric</v>
      </c>
      <c r="D15" s="22">
        <f ca="1">SUMIFS('All Expenses'!$E$4:$E$1048576,'All Expenses'!$D$4:$D$1048576,'April - June Budget '!C15,'All Expenses'!$B$4:$B$1048576, "&gt;=" &amp; DATE(YEAR(TODAY()),4,1),'All Expenses'!$B$4:$B$1048576, "&lt;=" &amp; DATE(YEAR(TODAY()),4,30))</f>
        <v>6640</v>
      </c>
      <c r="E15" s="23">
        <f ca="1">SUMIFS('All Expenses'!$F$4:$F$1048576,'All Expenses'!$D$4:$D$1048576,'April - June Budget '!C15,'All Expenses'!$B$4:$B$1048576, "&gt;=" &amp; DATE(YEAR(TODAY()),4,1),'All Expenses'!$B$4:$B$1048576, "&lt;=" &amp; DATE(YEAR(TODAY()),4,30))</f>
        <v>1730</v>
      </c>
      <c r="G15" s="24"/>
      <c r="H15" s="25"/>
      <c r="I15" s="25" t="str">
        <v>Electric</v>
      </c>
      <c r="J15" s="22">
        <f ca="1">SUMIFS('All Expenses'!$E$4:$E$1048576,'All Expenses'!$D$4:$D$1048576,'April - June Budget '!I15,'All Expenses'!$B$4:$B$1048576, "&gt;=" &amp; DATE(YEAR(TODAY()),5,1),'All Expenses'!$B$4:$B$1048576, "&lt;=" &amp; DATE(YEAR(TODAY()),5,31))</f>
        <v>0</v>
      </c>
      <c r="K15" s="23">
        <f ca="1">SUMIFS('All Expenses'!$F$4:$F$1048576,'All Expenses'!$D$4:$D$1048576,'April - June Budget '!I15,'All Expenses'!$B$4:$B$1048576, "&gt;=" &amp; DATE(YEAR(TODAY()),5,1),'All Expenses'!$B$4:$B$1048576, "&lt;=" &amp; DATE(YEAR(TODAY()),5,31))</f>
        <v>0</v>
      </c>
      <c r="M15" s="24"/>
      <c r="N15" s="25"/>
      <c r="O15" s="25" t="str">
        <v>Electric</v>
      </c>
      <c r="P15" s="22">
        <f ca="1">SUMIFS('All Expenses'!$E$4:$E$1048576,'All Expenses'!$D$4:$D$1048576,'April - June Budget '!O15,'All Expenses'!$B$4:$B$1048576, "&gt;=" &amp; DATE(YEAR(TODAY()),6,1),'All Expenses'!$B$4:$B$1048576, "&lt;=" &amp; DATE(YEAR(TODAY()),6,30))</f>
        <v>0</v>
      </c>
      <c r="Q15" s="23">
        <f ca="1">SUMIFS('All Expenses'!$F$4:$F$1048576,'All Expenses'!$D$4:$D$1048576,'April - June Budget '!O15,'All Expenses'!$B$4:$B$1048576, "&gt;=" &amp; DATE(YEAR(TODAY()),6,1),'All Expenses'!$B$4:$B$1048576, "&lt;=" &amp; DATE(YEAR(TODAY()),6,30))</f>
        <v>0</v>
      </c>
    </row>
    <row r="16" spans="1:17" s="38" customFormat="1" ht="15.75" thickBot="1">
      <c r="A16" s="24"/>
      <c r="B16" s="25"/>
      <c r="C16" s="25" t="str">
        <v>Gas</v>
      </c>
      <c r="D16" s="22">
        <f ca="1">SUMIFS('All Expenses'!$E$4:$E$1048576,'All Expenses'!$D$4:$D$1048576,'April - June Budget '!C16,'All Expenses'!$B$4:$B$1048576, "&gt;=" &amp; DATE(YEAR(TODAY()),4,1),'All Expenses'!$B$4:$B$1048576, "&lt;=" &amp; DATE(YEAR(TODAY()),4,30))</f>
        <v>0</v>
      </c>
      <c r="E16" s="23">
        <f ca="1">SUMIFS('All Expenses'!$F$4:$F$1048576,'All Expenses'!$D$4:$D$1048576,'April - June Budget '!C16,'All Expenses'!$B$4:$B$1048576, "&gt;=" &amp; DATE(YEAR(TODAY()),4,1),'All Expenses'!$B$4:$B$1048576, "&lt;=" &amp; DATE(YEAR(TODAY()),4,30))</f>
        <v>0</v>
      </c>
      <c r="G16" s="24"/>
      <c r="H16" s="25"/>
      <c r="I16" s="25" t="str">
        <v>Gas</v>
      </c>
      <c r="J16" s="22">
        <f ca="1">SUMIFS('All Expenses'!$E$4:$E$1048576,'All Expenses'!$D$4:$D$1048576,'April - June Budget '!I16,'All Expenses'!$B$4:$B$1048576, "&gt;=" &amp; DATE(YEAR(TODAY()),5,1),'All Expenses'!$B$4:$B$1048576, "&lt;=" &amp; DATE(YEAR(TODAY()),5,31))</f>
        <v>4098</v>
      </c>
      <c r="K16" s="23">
        <f ca="1">SUMIFS('All Expenses'!$F$4:$F$1048576,'All Expenses'!$D$4:$D$1048576,'April - June Budget '!I16,'All Expenses'!$B$4:$B$1048576, "&gt;=" &amp; DATE(YEAR(TODAY()),5,1),'All Expenses'!$B$4:$B$1048576, "&lt;=" &amp; DATE(YEAR(TODAY()),5,31))</f>
        <v>18807</v>
      </c>
      <c r="M16" s="24"/>
      <c r="N16" s="25"/>
      <c r="O16" s="25" t="str">
        <v>Gas</v>
      </c>
      <c r="P16" s="22">
        <f ca="1">SUMIFS('All Expenses'!$E$4:$E$1048576,'All Expenses'!$D$4:$D$1048576,'April - June Budget '!O16,'All Expenses'!$B$4:$B$1048576, "&gt;=" &amp; DATE(YEAR(TODAY()),6,1),'All Expenses'!$B$4:$B$1048576, "&lt;=" &amp; DATE(YEAR(TODAY()),6,30))</f>
        <v>0</v>
      </c>
      <c r="Q16" s="23">
        <f ca="1">SUMIFS('All Expenses'!$F$4:$F$1048576,'All Expenses'!$D$4:$D$1048576,'April - June Budget '!O16,'All Expenses'!$B$4:$B$1048576, "&gt;=" &amp; DATE(YEAR(TODAY()),6,1),'All Expenses'!$B$4:$B$1048576, "&lt;=" &amp; DATE(YEAR(TODAY()),6,30))</f>
        <v>0</v>
      </c>
    </row>
    <row r="17" spans="1:17" s="38" customFormat="1" ht="15.75" thickBot="1">
      <c r="A17" s="24"/>
      <c r="B17" s="25"/>
      <c r="C17" s="25" t="str">
        <v xml:space="preserve">Water </v>
      </c>
      <c r="D17" s="22">
        <f ca="1">SUMIFS('All Expenses'!$E$4:$E$1048576,'All Expenses'!$D$4:$D$1048576,'April - June Budget '!C17,'All Expenses'!$B$4:$B$1048576, "&gt;=" &amp; DATE(YEAR(TODAY()),4,1),'All Expenses'!$B$4:$B$1048576, "&lt;=" &amp; DATE(YEAR(TODAY()),4,30))</f>
        <v>0</v>
      </c>
      <c r="E17" s="23">
        <f ca="1">SUMIFS('All Expenses'!$F$4:$F$1048576,'All Expenses'!$D$4:$D$1048576,'April - June Budget '!C17,'All Expenses'!$B$4:$B$1048576, "&gt;=" &amp; DATE(YEAR(TODAY()),4,1),'All Expenses'!$B$4:$B$1048576, "&lt;=" &amp; DATE(YEAR(TODAY()),4,30))</f>
        <v>0</v>
      </c>
      <c r="G17" s="24"/>
      <c r="H17" s="25"/>
      <c r="I17" s="25" t="str">
        <v xml:space="preserve">Water </v>
      </c>
      <c r="J17" s="22">
        <f ca="1">SUMIFS('All Expenses'!$E$4:$E$1048576,'All Expenses'!$D$4:$D$1048576,'April - June Budget '!I17,'All Expenses'!$B$4:$B$1048576, "&gt;=" &amp; DATE(YEAR(TODAY()),5,1),'All Expenses'!$B$4:$B$1048576, "&lt;=" &amp; DATE(YEAR(TODAY()),5,31))</f>
        <v>0</v>
      </c>
      <c r="K17" s="23">
        <f ca="1">SUMIFS('All Expenses'!$F$4:$F$1048576,'All Expenses'!$D$4:$D$1048576,'April - June Budget '!I17,'All Expenses'!$B$4:$B$1048576, "&gt;=" &amp; DATE(YEAR(TODAY()),5,1),'All Expenses'!$B$4:$B$1048576, "&lt;=" &amp; DATE(YEAR(TODAY()),5,31))</f>
        <v>0</v>
      </c>
      <c r="M17" s="24"/>
      <c r="N17" s="25"/>
      <c r="O17" s="25" t="str">
        <v xml:space="preserve">Water </v>
      </c>
      <c r="P17" s="22">
        <f ca="1">SUMIFS('All Expenses'!$E$4:$E$1048576,'All Expenses'!$D$4:$D$1048576,'April - June Budget '!O17,'All Expenses'!$B$4:$B$1048576, "&gt;=" &amp; DATE(YEAR(TODAY()),6,1),'All Expenses'!$B$4:$B$1048576, "&lt;=" &amp; DATE(YEAR(TODAY()),6,30))</f>
        <v>3866</v>
      </c>
      <c r="Q17" s="23">
        <f ca="1">SUMIFS('All Expenses'!$F$4:$F$1048576,'All Expenses'!$D$4:$D$1048576,'April - June Budget '!O17,'All Expenses'!$B$4:$B$1048576, "&gt;=" &amp; DATE(YEAR(TODAY()),6,1),'All Expenses'!$B$4:$B$1048576, "&lt;=" &amp; DATE(YEAR(TODAY()),6,30))</f>
        <v>11773</v>
      </c>
    </row>
    <row r="18" spans="1:17" s="38" customFormat="1" ht="15.75" thickBot="1">
      <c r="A18" s="24"/>
      <c r="B18" s="25"/>
      <c r="C18" s="25" t="str">
        <v>Heatng Bills</v>
      </c>
      <c r="D18" s="22">
        <f ca="1">SUMIFS('All Expenses'!$E$4:$E$1048576,'All Expenses'!$D$4:$D$1048576,'April - June Budget '!C18,'All Expenses'!$B$4:$B$1048576, "&gt;=" &amp; DATE(YEAR(TODAY()),4,1),'All Expenses'!$B$4:$B$1048576, "&lt;=" &amp; DATE(YEAR(TODAY()),4,30))</f>
        <v>3865</v>
      </c>
      <c r="E18" s="23">
        <f ca="1">SUMIFS('All Expenses'!$F$4:$F$1048576,'All Expenses'!$D$4:$D$1048576,'April - June Budget '!C18,'All Expenses'!$B$4:$B$1048576, "&gt;=" &amp; DATE(YEAR(TODAY()),4,1),'All Expenses'!$B$4:$B$1048576, "&lt;=" &amp; DATE(YEAR(TODAY()),4,30))</f>
        <v>4732</v>
      </c>
      <c r="G18" s="24"/>
      <c r="H18" s="25"/>
      <c r="I18" s="25" t="str">
        <v>Heatng Bills</v>
      </c>
      <c r="J18" s="22">
        <f ca="1">SUMIFS('All Expenses'!$E$4:$E$1048576,'All Expenses'!$D$4:$D$1048576,'April - June Budget '!I18,'All Expenses'!$B$4:$B$1048576, "&gt;=" &amp; DATE(YEAR(TODAY()),5,1),'All Expenses'!$B$4:$B$1048576, "&lt;=" &amp; DATE(YEAR(TODAY()),5,31))</f>
        <v>0</v>
      </c>
      <c r="K18" s="23">
        <f ca="1">SUMIFS('All Expenses'!$F$4:$F$1048576,'All Expenses'!$D$4:$D$1048576,'April - June Budget '!I18,'All Expenses'!$B$4:$B$1048576, "&gt;=" &amp; DATE(YEAR(TODAY()),5,1),'All Expenses'!$B$4:$B$1048576, "&lt;=" &amp; DATE(YEAR(TODAY()),5,31))</f>
        <v>0</v>
      </c>
      <c r="M18" s="24"/>
      <c r="N18" s="25"/>
      <c r="O18" s="25" t="str">
        <v>Heatng Bills</v>
      </c>
      <c r="P18" s="22">
        <f ca="1">SUMIFS('All Expenses'!$E$4:$E$1048576,'All Expenses'!$D$4:$D$1048576,'April - June Budget '!O18,'All Expenses'!$B$4:$B$1048576, "&gt;=" &amp; DATE(YEAR(TODAY()),6,1),'All Expenses'!$B$4:$B$1048576, "&lt;=" &amp; DATE(YEAR(TODAY()),6,30))</f>
        <v>0</v>
      </c>
      <c r="Q18" s="23">
        <f ca="1">SUMIFS('All Expenses'!$F$4:$F$1048576,'All Expenses'!$D$4:$D$1048576,'April - June Budget '!O18,'All Expenses'!$B$4:$B$1048576, "&gt;=" &amp; DATE(YEAR(TODAY()),6,1),'All Expenses'!$B$4:$B$1048576, "&lt;=" &amp; DATE(YEAR(TODAY()),6,30))</f>
        <v>0</v>
      </c>
    </row>
    <row r="19" spans="1:17" s="38" customFormat="1" ht="15.75" thickBot="1">
      <c r="A19" s="24"/>
      <c r="B19" s="25"/>
      <c r="C19" s="25" t="str">
        <v>House and Contents</v>
      </c>
      <c r="D19" s="22">
        <f ca="1">SUMIFS('All Expenses'!$E$4:$E$1048576,'All Expenses'!$D$4:$D$1048576,'April - June Budget '!C19,'All Expenses'!$B$4:$B$1048576, "&gt;=" &amp; DATE(YEAR(TODAY()),4,1),'All Expenses'!$B$4:$B$1048576, "&lt;=" &amp; DATE(YEAR(TODAY()),4,30))</f>
        <v>9809</v>
      </c>
      <c r="E19" s="23">
        <f ca="1">SUMIFS('All Expenses'!$F$4:$F$1048576,'All Expenses'!$D$4:$D$1048576,'April - June Budget '!C19,'All Expenses'!$B$4:$B$1048576, "&gt;=" &amp; DATE(YEAR(TODAY()),4,1),'All Expenses'!$B$4:$B$1048576, "&lt;=" &amp; DATE(YEAR(TODAY()),4,30))</f>
        <v>2343</v>
      </c>
      <c r="G19" s="24"/>
      <c r="H19" s="25"/>
      <c r="I19" s="25" t="str">
        <v>House and Contents</v>
      </c>
      <c r="J19" s="22">
        <f ca="1">SUMIFS('All Expenses'!$E$4:$E$1048576,'All Expenses'!$D$4:$D$1048576,'April - June Budget '!I19,'All Expenses'!$B$4:$B$1048576, "&gt;=" &amp; DATE(YEAR(TODAY()),5,1),'All Expenses'!$B$4:$B$1048576, "&lt;=" &amp; DATE(YEAR(TODAY()),5,31))</f>
        <v>2728</v>
      </c>
      <c r="K19" s="23">
        <f ca="1">SUMIFS('All Expenses'!$F$4:$F$1048576,'All Expenses'!$D$4:$D$1048576,'April - June Budget '!I19,'All Expenses'!$B$4:$B$1048576, "&gt;=" &amp; DATE(YEAR(TODAY()),5,1),'All Expenses'!$B$4:$B$1048576, "&lt;=" &amp; DATE(YEAR(TODAY()),5,31))</f>
        <v>9629</v>
      </c>
      <c r="M19" s="24"/>
      <c r="N19" s="25"/>
      <c r="O19" s="25" t="str">
        <v>House and Contents</v>
      </c>
      <c r="P19" s="22">
        <f ca="1">SUMIFS('All Expenses'!$E$4:$E$1048576,'All Expenses'!$D$4:$D$1048576,'April - June Budget '!O19,'All Expenses'!$B$4:$B$1048576, "&gt;=" &amp; DATE(YEAR(TODAY()),6,1),'All Expenses'!$B$4:$B$1048576, "&lt;=" &amp; DATE(YEAR(TODAY()),6,30))</f>
        <v>0</v>
      </c>
      <c r="Q19" s="23">
        <f ca="1">SUMIFS('All Expenses'!$F$4:$F$1048576,'All Expenses'!$D$4:$D$1048576,'April - June Budget '!O19,'All Expenses'!$B$4:$B$1048576, "&gt;=" &amp; DATE(YEAR(TODAY()),6,1),'All Expenses'!$B$4:$B$1048576, "&lt;=" &amp; DATE(YEAR(TODAY()),6,30))</f>
        <v>0</v>
      </c>
    </row>
    <row r="20" spans="1:17" s="38" customFormat="1" ht="15.75" thickBot="1">
      <c r="A20" s="24"/>
      <c r="B20" s="25"/>
      <c r="C20" s="25" t="str">
        <v>Vehicle</v>
      </c>
      <c r="D20" s="22">
        <f ca="1">SUMIFS('All Expenses'!$E$4:$E$1048576,'All Expenses'!$D$4:$D$1048576,'April - June Budget '!C20,'All Expenses'!$B$4:$B$1048576, "&gt;=" &amp; DATE(YEAR(TODAY()),4,1),'All Expenses'!$B$4:$B$1048576, "&lt;=" &amp; DATE(YEAR(TODAY()),4,30))</f>
        <v>0</v>
      </c>
      <c r="E20" s="23">
        <f ca="1">SUMIFS('All Expenses'!$F$4:$F$1048576,'All Expenses'!$D$4:$D$1048576,'April - June Budget '!C20,'All Expenses'!$B$4:$B$1048576, "&gt;=" &amp; DATE(YEAR(TODAY()),4,1),'All Expenses'!$B$4:$B$1048576, "&lt;=" &amp; DATE(YEAR(TODAY()),4,30))</f>
        <v>0</v>
      </c>
      <c r="G20" s="24"/>
      <c r="H20" s="25"/>
      <c r="I20" s="25" t="str">
        <v>Vehicle</v>
      </c>
      <c r="J20" s="22">
        <f ca="1">SUMIFS('All Expenses'!$E$4:$E$1048576,'All Expenses'!$D$4:$D$1048576,'April - June Budget '!I20,'All Expenses'!$B$4:$B$1048576, "&gt;=" &amp; DATE(YEAR(TODAY()),5,1),'All Expenses'!$B$4:$B$1048576, "&lt;=" &amp; DATE(YEAR(TODAY()),5,31))</f>
        <v>4098</v>
      </c>
      <c r="K20" s="23">
        <f ca="1">SUMIFS('All Expenses'!$F$4:$F$1048576,'All Expenses'!$D$4:$D$1048576,'April - June Budget '!I20,'All Expenses'!$B$4:$B$1048576, "&gt;=" &amp; DATE(YEAR(TODAY()),5,1),'All Expenses'!$B$4:$B$1048576, "&lt;=" &amp; DATE(YEAR(TODAY()),5,31))</f>
        <v>46</v>
      </c>
      <c r="M20" s="24"/>
      <c r="N20" s="25"/>
      <c r="O20" s="25" t="str">
        <v>Vehicle</v>
      </c>
      <c r="P20" s="22">
        <f ca="1">SUMIFS('All Expenses'!$E$4:$E$1048576,'All Expenses'!$D$4:$D$1048576,'April - June Budget '!O20,'All Expenses'!$B$4:$B$1048576, "&gt;=" &amp; DATE(YEAR(TODAY()),6,1),'All Expenses'!$B$4:$B$1048576, "&lt;=" &amp; DATE(YEAR(TODAY()),6,30))</f>
        <v>7544</v>
      </c>
      <c r="Q20" s="23">
        <f ca="1">SUMIFS('All Expenses'!$F$4:$F$1048576,'All Expenses'!$D$4:$D$1048576,'April - June Budget '!O20,'All Expenses'!$B$4:$B$1048576, "&gt;=" &amp; DATE(YEAR(TODAY()),6,1),'All Expenses'!$B$4:$B$1048576, "&lt;=" &amp; DATE(YEAR(TODAY()),6,30))</f>
        <v>5984</v>
      </c>
    </row>
    <row r="21" spans="1:17" s="38" customFormat="1" ht="15.75" thickBot="1">
      <c r="A21" s="24"/>
      <c r="B21" s="25"/>
      <c r="C21" s="25" t="str">
        <v xml:space="preserve">Personal Liability </v>
      </c>
      <c r="D21" s="22">
        <f ca="1">SUMIFS('All Expenses'!$E$4:$E$1048576,'All Expenses'!$D$4:$D$1048576,'April - June Budget '!C21,'All Expenses'!$B$4:$B$1048576, "&gt;=" &amp; DATE(YEAR(TODAY()),4,1),'All Expenses'!$B$4:$B$1048576, "&lt;=" &amp; DATE(YEAR(TODAY()),4,30))</f>
        <v>0</v>
      </c>
      <c r="E21" s="23">
        <f ca="1">SUMIFS('All Expenses'!$F$4:$F$1048576,'All Expenses'!$D$4:$D$1048576,'April - June Budget '!C21,'All Expenses'!$B$4:$B$1048576, "&gt;=" &amp; DATE(YEAR(TODAY()),4,1),'All Expenses'!$B$4:$B$1048576, "&lt;=" &amp; DATE(YEAR(TODAY()),4,30))</f>
        <v>0</v>
      </c>
      <c r="G21" s="24"/>
      <c r="H21" s="25"/>
      <c r="I21" s="25" t="str">
        <v xml:space="preserve">Personal Liability </v>
      </c>
      <c r="J21" s="22">
        <f ca="1">SUMIFS('All Expenses'!$E$4:$E$1048576,'All Expenses'!$D$4:$D$1048576,'April - June Budget '!I21,'All Expenses'!$B$4:$B$1048576, "&gt;=" &amp; DATE(YEAR(TODAY()),5,1),'All Expenses'!$B$4:$B$1048576, "&lt;=" &amp; DATE(YEAR(TODAY()),5,31))</f>
        <v>0</v>
      </c>
      <c r="K21" s="23">
        <f ca="1">SUMIFS('All Expenses'!$F$4:$F$1048576,'All Expenses'!$D$4:$D$1048576,'April - June Budget '!I21,'All Expenses'!$B$4:$B$1048576, "&gt;=" &amp; DATE(YEAR(TODAY()),5,1),'All Expenses'!$B$4:$B$1048576, "&lt;=" &amp; DATE(YEAR(TODAY()),5,31))</f>
        <v>0</v>
      </c>
      <c r="M21" s="24"/>
      <c r="N21" s="25"/>
      <c r="O21" s="25" t="str">
        <v xml:space="preserve">Personal Liability </v>
      </c>
      <c r="P21" s="22">
        <f ca="1">SUMIFS('All Expenses'!$E$4:$E$1048576,'All Expenses'!$D$4:$D$1048576,'April - June Budget '!O21,'All Expenses'!$B$4:$B$1048576, "&gt;=" &amp; DATE(YEAR(TODAY()),6,1),'All Expenses'!$B$4:$B$1048576, "&lt;=" &amp; DATE(YEAR(TODAY()),6,30))</f>
        <v>5839</v>
      </c>
      <c r="Q21" s="23">
        <f ca="1">SUMIFS('All Expenses'!$F$4:$F$1048576,'All Expenses'!$D$4:$D$1048576,'April - June Budget '!O21,'All Expenses'!$B$4:$B$1048576, "&gt;=" &amp; DATE(YEAR(TODAY()),6,1),'All Expenses'!$B$4:$B$1048576, "&lt;=" &amp; DATE(YEAR(TODAY()),6,30))</f>
        <v>7702</v>
      </c>
    </row>
    <row r="22" spans="1:17" s="38" customFormat="1" ht="15.75" thickBot="1">
      <c r="A22" s="24"/>
      <c r="B22" s="25"/>
      <c r="C22" s="25" t="str">
        <v>Subscriptions</v>
      </c>
      <c r="D22" s="22">
        <f ca="1">SUMIFS('All Expenses'!$E$4:$E$1048576,'All Expenses'!$D$4:$D$1048576,'April - June Budget '!C22,'All Expenses'!$B$4:$B$1048576, "&gt;=" &amp; DATE(YEAR(TODAY()),4,1),'All Expenses'!$B$4:$B$1048576, "&lt;=" &amp; DATE(YEAR(TODAY()),4,30))</f>
        <v>0</v>
      </c>
      <c r="E22" s="23">
        <f ca="1">SUMIFS('All Expenses'!$F$4:$F$1048576,'All Expenses'!$D$4:$D$1048576,'April - June Budget '!C22,'All Expenses'!$B$4:$B$1048576, "&gt;=" &amp; DATE(YEAR(TODAY()),4,1),'All Expenses'!$B$4:$B$1048576, "&lt;=" &amp; DATE(YEAR(TODAY()),4,30))</f>
        <v>0</v>
      </c>
      <c r="G22" s="24"/>
      <c r="H22" s="25"/>
      <c r="I22" s="25" t="str">
        <v>Subscriptions</v>
      </c>
      <c r="J22" s="22">
        <f ca="1">SUMIFS('All Expenses'!$E$4:$E$1048576,'All Expenses'!$D$4:$D$1048576,'April - June Budget '!I22,'All Expenses'!$B$4:$B$1048576, "&gt;=" &amp; DATE(YEAR(TODAY()),5,1),'All Expenses'!$B$4:$B$1048576, "&lt;=" &amp; DATE(YEAR(TODAY()),5,31))</f>
        <v>0</v>
      </c>
      <c r="K22" s="23">
        <f ca="1">SUMIFS('All Expenses'!$F$4:$F$1048576,'All Expenses'!$D$4:$D$1048576,'April - June Budget '!I22,'All Expenses'!$B$4:$B$1048576, "&gt;=" &amp; DATE(YEAR(TODAY()),5,1),'All Expenses'!$B$4:$B$1048576, "&lt;=" &amp; DATE(YEAR(TODAY()),5,31))</f>
        <v>0</v>
      </c>
      <c r="M22" s="24"/>
      <c r="N22" s="25"/>
      <c r="O22" s="25" t="str">
        <v>Subscriptions</v>
      </c>
      <c r="P22" s="22">
        <f ca="1">SUMIFS('All Expenses'!$E$4:$E$1048576,'All Expenses'!$D$4:$D$1048576,'April - June Budget '!O22,'All Expenses'!$B$4:$B$1048576, "&gt;=" &amp; DATE(YEAR(TODAY()),6,1),'All Expenses'!$B$4:$B$1048576, "&lt;=" &amp; DATE(YEAR(TODAY()),6,30))</f>
        <v>1101</v>
      </c>
      <c r="Q22" s="23">
        <f ca="1">SUMIFS('All Expenses'!$F$4:$F$1048576,'All Expenses'!$D$4:$D$1048576,'April - June Budget '!O22,'All Expenses'!$B$4:$B$1048576, "&gt;=" &amp; DATE(YEAR(TODAY()),6,1),'All Expenses'!$B$4:$B$1048576, "&lt;=" &amp; DATE(YEAR(TODAY()),6,30))</f>
        <v>2841</v>
      </c>
    </row>
    <row r="23" spans="1:17" s="38" customFormat="1" ht="15.75" thickBot="1">
      <c r="A23" s="24"/>
      <c r="B23" s="25"/>
      <c r="C23" s="25" t="str">
        <v>Gym Memberships</v>
      </c>
      <c r="D23" s="22">
        <f ca="1">SUMIFS('All Expenses'!$E$4:$E$1048576,'All Expenses'!$D$4:$D$1048576,'April - June Budget '!C23,'All Expenses'!$B$4:$B$1048576, "&gt;=" &amp; DATE(YEAR(TODAY()),4,1),'All Expenses'!$B$4:$B$1048576, "&lt;=" &amp; DATE(YEAR(TODAY()),4,30))</f>
        <v>0</v>
      </c>
      <c r="E23" s="23">
        <f ca="1">SUMIFS('All Expenses'!$F$4:$F$1048576,'All Expenses'!$D$4:$D$1048576,'April - June Budget '!C23,'All Expenses'!$B$4:$B$1048576, "&gt;=" &amp; DATE(YEAR(TODAY()),4,1),'All Expenses'!$B$4:$B$1048576, "&lt;=" &amp; DATE(YEAR(TODAY()),4,30))</f>
        <v>0</v>
      </c>
      <c r="G23" s="24"/>
      <c r="H23" s="25"/>
      <c r="I23" s="25" t="str">
        <v>Gym Memberships</v>
      </c>
      <c r="J23" s="22">
        <f ca="1">SUMIFS('All Expenses'!$E$4:$E$1048576,'All Expenses'!$D$4:$D$1048576,'April - June Budget '!I23,'All Expenses'!$B$4:$B$1048576, "&gt;=" &amp; DATE(YEAR(TODAY()),5,1),'All Expenses'!$B$4:$B$1048576, "&lt;=" &amp; DATE(YEAR(TODAY()),5,31))</f>
        <v>0</v>
      </c>
      <c r="K23" s="23">
        <f ca="1">SUMIFS('All Expenses'!$F$4:$F$1048576,'All Expenses'!$D$4:$D$1048576,'April - June Budget '!I23,'All Expenses'!$B$4:$B$1048576, "&gt;=" &amp; DATE(YEAR(TODAY()),5,1),'All Expenses'!$B$4:$B$1048576, "&lt;=" &amp; DATE(YEAR(TODAY()),5,31))</f>
        <v>0</v>
      </c>
      <c r="M23" s="24"/>
      <c r="N23" s="25"/>
      <c r="O23" s="25" t="str">
        <v>Gym Memberships</v>
      </c>
      <c r="P23" s="22">
        <f ca="1">SUMIFS('All Expenses'!$E$4:$E$1048576,'All Expenses'!$D$4:$D$1048576,'April - June Budget '!O23,'All Expenses'!$B$4:$B$1048576, "&gt;=" &amp; DATE(YEAR(TODAY()),6,1),'All Expenses'!$B$4:$B$1048576, "&lt;=" &amp; DATE(YEAR(TODAY()),6,30))</f>
        <v>0</v>
      </c>
      <c r="Q23" s="23">
        <f ca="1">SUMIFS('All Expenses'!$F$4:$F$1048576,'All Expenses'!$D$4:$D$1048576,'April - June Budget '!O23,'All Expenses'!$B$4:$B$1048576, "&gt;=" &amp; DATE(YEAR(TODAY()),6,1),'All Expenses'!$B$4:$B$1048576, "&lt;=" &amp; DATE(YEAR(TODAY()),6,30))</f>
        <v>0</v>
      </c>
    </row>
    <row r="24" spans="1:17" s="38" customFormat="1" ht="15.75" thickBot="1">
      <c r="A24" s="24"/>
      <c r="B24" s="25"/>
      <c r="C24" s="25" t="str">
        <v>Movies</v>
      </c>
      <c r="D24" s="22">
        <f ca="1">SUMIFS('All Expenses'!$E$4:$E$1048576,'All Expenses'!$D$4:$D$1048576,'April - June Budget '!C24,'All Expenses'!$B$4:$B$1048576, "&gt;=" &amp; DATE(YEAR(TODAY()),4,1),'All Expenses'!$B$4:$B$1048576, "&lt;=" &amp; DATE(YEAR(TODAY()),4,30))</f>
        <v>0</v>
      </c>
      <c r="E24" s="23">
        <f ca="1">SUMIFS('All Expenses'!$F$4:$F$1048576,'All Expenses'!$D$4:$D$1048576,'April - June Budget '!C24,'All Expenses'!$B$4:$B$1048576, "&gt;=" &amp; DATE(YEAR(TODAY()),4,1),'All Expenses'!$B$4:$B$1048576, "&lt;=" &amp; DATE(YEAR(TODAY()),4,30))</f>
        <v>0</v>
      </c>
      <c r="G24" s="24"/>
      <c r="H24" s="25"/>
      <c r="I24" s="25" t="str">
        <v>Movies</v>
      </c>
      <c r="J24" s="22">
        <f ca="1">SUMIFS('All Expenses'!$E$4:$E$1048576,'All Expenses'!$D$4:$D$1048576,'April - June Budget '!I24,'All Expenses'!$B$4:$B$1048576, "&gt;=" &amp; DATE(YEAR(TODAY()),5,1),'All Expenses'!$B$4:$B$1048576, "&lt;=" &amp; DATE(YEAR(TODAY()),5,31))</f>
        <v>0</v>
      </c>
      <c r="K24" s="23">
        <f ca="1">SUMIFS('All Expenses'!$F$4:$F$1048576,'All Expenses'!$D$4:$D$1048576,'April - June Budget '!I24,'All Expenses'!$B$4:$B$1048576, "&gt;=" &amp; DATE(YEAR(TODAY()),5,1),'All Expenses'!$B$4:$B$1048576, "&lt;=" &amp; DATE(YEAR(TODAY()),5,31))</f>
        <v>0</v>
      </c>
      <c r="M24" s="24"/>
      <c r="N24" s="25"/>
      <c r="O24" s="25" t="str">
        <v>Movies</v>
      </c>
      <c r="P24" s="22">
        <f ca="1">SUMIFS('All Expenses'!$E$4:$E$1048576,'All Expenses'!$D$4:$D$1048576,'April - June Budget '!O24,'All Expenses'!$B$4:$B$1048576, "&gt;=" &amp; DATE(YEAR(TODAY()),6,1),'All Expenses'!$B$4:$B$1048576, "&lt;=" &amp; DATE(YEAR(TODAY()),6,30))</f>
        <v>0</v>
      </c>
      <c r="Q24" s="23">
        <f ca="1">SUMIFS('All Expenses'!$F$4:$F$1048576,'All Expenses'!$D$4:$D$1048576,'April - June Budget '!O24,'All Expenses'!$B$4:$B$1048576, "&gt;=" &amp; DATE(YEAR(TODAY()),6,1),'All Expenses'!$B$4:$B$1048576, "&lt;=" &amp; DATE(YEAR(TODAY()),6,30))</f>
        <v>0</v>
      </c>
    </row>
    <row r="25" spans="1:17" s="38" customFormat="1" ht="15.75" thickBot="1">
      <c r="A25" s="24"/>
      <c r="B25" s="25"/>
      <c r="C25" s="25" t="str">
        <v>Concerts</v>
      </c>
      <c r="D25" s="22">
        <f ca="1">SUMIFS('All Expenses'!$E$4:$E$1048576,'All Expenses'!$D$4:$D$1048576,'April - June Budget '!C25,'All Expenses'!$B$4:$B$1048576, "&gt;=" &amp; DATE(YEAR(TODAY()),4,1),'All Expenses'!$B$4:$B$1048576, "&lt;=" &amp; DATE(YEAR(TODAY()),4,30))</f>
        <v>0</v>
      </c>
      <c r="E25" s="23">
        <f ca="1">SUMIFS('All Expenses'!$F$4:$F$1048576,'All Expenses'!$D$4:$D$1048576,'April - June Budget '!C25,'All Expenses'!$B$4:$B$1048576, "&gt;=" &amp; DATE(YEAR(TODAY()),4,1),'All Expenses'!$B$4:$B$1048576, "&lt;=" &amp; DATE(YEAR(TODAY()),4,30))</f>
        <v>0</v>
      </c>
      <c r="G25" s="24"/>
      <c r="H25" s="25"/>
      <c r="I25" s="25" t="str">
        <v>Concerts</v>
      </c>
      <c r="J25" s="22">
        <f ca="1">SUMIFS('All Expenses'!$E$4:$E$1048576,'All Expenses'!$D$4:$D$1048576,'April - June Budget '!I25,'All Expenses'!$B$4:$B$1048576, "&gt;=" &amp; DATE(YEAR(TODAY()),5,1),'All Expenses'!$B$4:$B$1048576, "&lt;=" &amp; DATE(YEAR(TODAY()),5,31))</f>
        <v>0</v>
      </c>
      <c r="K25" s="23">
        <f ca="1">SUMIFS('All Expenses'!$F$4:$F$1048576,'All Expenses'!$D$4:$D$1048576,'April - June Budget '!I25,'All Expenses'!$B$4:$B$1048576, "&gt;=" &amp; DATE(YEAR(TODAY()),5,1),'All Expenses'!$B$4:$B$1048576, "&lt;=" &amp; DATE(YEAR(TODAY()),5,31))</f>
        <v>0</v>
      </c>
      <c r="M25" s="24"/>
      <c r="N25" s="25"/>
      <c r="O25" s="25" t="str">
        <v>Concerts</v>
      </c>
      <c r="P25" s="22">
        <f ca="1">SUMIFS('All Expenses'!$E$4:$E$1048576,'All Expenses'!$D$4:$D$1048576,'April - June Budget '!O25,'All Expenses'!$B$4:$B$1048576, "&gt;=" &amp; DATE(YEAR(TODAY()),6,1),'All Expenses'!$B$4:$B$1048576, "&lt;=" &amp; DATE(YEAR(TODAY()),6,30))</f>
        <v>5075</v>
      </c>
      <c r="Q25" s="23">
        <f ca="1">SUMIFS('All Expenses'!$F$4:$F$1048576,'All Expenses'!$D$4:$D$1048576,'April - June Budget '!O25,'All Expenses'!$B$4:$B$1048576, "&gt;=" &amp; DATE(YEAR(TODAY()),6,1),'All Expenses'!$B$4:$B$1048576, "&lt;=" &amp; DATE(YEAR(TODAY()),6,30))</f>
        <v>5788</v>
      </c>
    </row>
    <row r="26" spans="1:17" s="38" customFormat="1" ht="15.75" thickBot="1">
      <c r="A26" s="24"/>
      <c r="B26" s="25"/>
      <c r="C26" s="25" t="str">
        <v>Outings</v>
      </c>
      <c r="D26" s="22">
        <f ca="1">SUMIFS('All Expenses'!$E$4:$E$1048576,'All Expenses'!$D$4:$D$1048576,'April - June Budget '!C26,'All Expenses'!$B$4:$B$1048576, "&gt;=" &amp; DATE(YEAR(TODAY()),4,1),'All Expenses'!$B$4:$B$1048576, "&lt;=" &amp; DATE(YEAR(TODAY()),4,30))</f>
        <v>0</v>
      </c>
      <c r="E26" s="23">
        <f ca="1">SUMIFS('All Expenses'!$F$4:$F$1048576,'All Expenses'!$D$4:$D$1048576,'April - June Budget '!C26,'All Expenses'!$B$4:$B$1048576, "&gt;=" &amp; DATE(YEAR(TODAY()),4,1),'All Expenses'!$B$4:$B$1048576, "&lt;=" &amp; DATE(YEAR(TODAY()),4,30))</f>
        <v>0</v>
      </c>
      <c r="G26" s="24"/>
      <c r="H26" s="25"/>
      <c r="I26" s="25" t="str">
        <v>Outings</v>
      </c>
      <c r="J26" s="22">
        <f ca="1">SUMIFS('All Expenses'!$E$4:$E$1048576,'All Expenses'!$D$4:$D$1048576,'April - June Budget '!I26,'All Expenses'!$B$4:$B$1048576, "&gt;=" &amp; DATE(YEAR(TODAY()),5,1),'All Expenses'!$B$4:$B$1048576, "&lt;=" &amp; DATE(YEAR(TODAY()),5,31))</f>
        <v>0</v>
      </c>
      <c r="K26" s="23">
        <f ca="1">SUMIFS('All Expenses'!$F$4:$F$1048576,'All Expenses'!$D$4:$D$1048576,'April - June Budget '!I26,'All Expenses'!$B$4:$B$1048576, "&gt;=" &amp; DATE(YEAR(TODAY()),5,1),'All Expenses'!$B$4:$B$1048576, "&lt;=" &amp; DATE(YEAR(TODAY()),5,31))</f>
        <v>0</v>
      </c>
      <c r="M26" s="24"/>
      <c r="N26" s="25"/>
      <c r="O26" s="25" t="str">
        <v>Outings</v>
      </c>
      <c r="P26" s="22">
        <f ca="1">SUMIFS('All Expenses'!$E$4:$E$1048576,'All Expenses'!$D$4:$D$1048576,'April - June Budget '!O26,'All Expenses'!$B$4:$B$1048576, "&gt;=" &amp; DATE(YEAR(TODAY()),6,1),'All Expenses'!$B$4:$B$1048576, "&lt;=" &amp; DATE(YEAR(TODAY()),6,30))</f>
        <v>0</v>
      </c>
      <c r="Q26" s="23">
        <f ca="1">SUMIFS('All Expenses'!$F$4:$F$1048576,'All Expenses'!$D$4:$D$1048576,'April - June Budget '!O26,'All Expenses'!$B$4:$B$1048576, "&gt;=" &amp; DATE(YEAR(TODAY()),6,1),'All Expenses'!$B$4:$B$1048576, "&lt;=" &amp; DATE(YEAR(TODAY()),6,30))</f>
        <v>0</v>
      </c>
    </row>
    <row r="27" spans="1:17" s="38" customFormat="1" ht="15.75" thickBot="1">
      <c r="A27" s="24"/>
      <c r="B27" s="25"/>
      <c r="C27" s="25" t="str">
        <v>Dinners</v>
      </c>
      <c r="D27" s="22">
        <f ca="1">SUMIFS('All Expenses'!$E$4:$E$1048576,'All Expenses'!$D$4:$D$1048576,'April - June Budget '!C27,'All Expenses'!$B$4:$B$1048576, "&gt;=" &amp; DATE(YEAR(TODAY()),4,1),'All Expenses'!$B$4:$B$1048576, "&lt;=" &amp; DATE(YEAR(TODAY()),4,30))</f>
        <v>2795</v>
      </c>
      <c r="E27" s="23">
        <f ca="1">SUMIFS('All Expenses'!$F$4:$F$1048576,'All Expenses'!$D$4:$D$1048576,'April - June Budget '!C27,'All Expenses'!$B$4:$B$1048576, "&gt;=" &amp; DATE(YEAR(TODAY()),4,1),'All Expenses'!$B$4:$B$1048576, "&lt;=" &amp; DATE(YEAR(TODAY()),4,30))</f>
        <v>4932</v>
      </c>
      <c r="G27" s="24"/>
      <c r="H27" s="25"/>
      <c r="I27" s="25" t="str">
        <v>Dinners</v>
      </c>
      <c r="J27" s="22">
        <f ca="1">SUMIFS('All Expenses'!$E$4:$E$1048576,'All Expenses'!$D$4:$D$1048576,'April - June Budget '!I27,'All Expenses'!$B$4:$B$1048576, "&gt;=" &amp; DATE(YEAR(TODAY()),5,1),'All Expenses'!$B$4:$B$1048576, "&lt;=" &amp; DATE(YEAR(TODAY()),5,31))</f>
        <v>0</v>
      </c>
      <c r="K27" s="23">
        <f ca="1">SUMIFS('All Expenses'!$F$4:$F$1048576,'All Expenses'!$D$4:$D$1048576,'April - June Budget '!I27,'All Expenses'!$B$4:$B$1048576, "&gt;=" &amp; DATE(YEAR(TODAY()),5,1),'All Expenses'!$B$4:$B$1048576, "&lt;=" &amp; DATE(YEAR(TODAY()),5,31))</f>
        <v>0</v>
      </c>
      <c r="M27" s="24"/>
      <c r="N27" s="25"/>
      <c r="O27" s="25" t="str">
        <v>Dinners</v>
      </c>
      <c r="P27" s="22">
        <f ca="1">SUMIFS('All Expenses'!$E$4:$E$1048576,'All Expenses'!$D$4:$D$1048576,'April - June Budget '!O27,'All Expenses'!$B$4:$B$1048576, "&gt;=" &amp; DATE(YEAR(TODAY()),6,1),'All Expenses'!$B$4:$B$1048576, "&lt;=" &amp; DATE(YEAR(TODAY()),6,30))</f>
        <v>0</v>
      </c>
      <c r="Q27" s="23">
        <f ca="1">SUMIFS('All Expenses'!$F$4:$F$1048576,'All Expenses'!$D$4:$D$1048576,'April - June Budget '!O27,'All Expenses'!$B$4:$B$1048576, "&gt;=" &amp; DATE(YEAR(TODAY()),6,1),'All Expenses'!$B$4:$B$1048576, "&lt;=" &amp; DATE(YEAR(TODAY()),6,30))</f>
        <v>0</v>
      </c>
    </row>
    <row r="28" spans="1:17" s="38" customFormat="1" ht="15.75" thickBot="1">
      <c r="A28" s="24"/>
      <c r="B28" s="25"/>
      <c r="C28" s="25" t="str">
        <v>Social Event</v>
      </c>
      <c r="D28" s="22">
        <f ca="1">SUMIFS('All Expenses'!$E$4:$E$1048576,'All Expenses'!$D$4:$D$1048576,'April - June Budget '!C28,'All Expenses'!$B$4:$B$1048576, "&gt;=" &amp; DATE(YEAR(TODAY()),4,1),'All Expenses'!$B$4:$B$1048576, "&lt;=" &amp; DATE(YEAR(TODAY()),4,30))</f>
        <v>0</v>
      </c>
      <c r="E28" s="23">
        <f ca="1">SUMIFS('All Expenses'!$F$4:$F$1048576,'All Expenses'!$D$4:$D$1048576,'April - June Budget '!C28,'All Expenses'!$B$4:$B$1048576, "&gt;=" &amp; DATE(YEAR(TODAY()),4,1),'All Expenses'!$B$4:$B$1048576, "&lt;=" &amp; DATE(YEAR(TODAY()),4,30))</f>
        <v>0</v>
      </c>
      <c r="G28" s="24"/>
      <c r="H28" s="25"/>
      <c r="I28" s="25" t="str">
        <v>Social Event</v>
      </c>
      <c r="J28" s="22">
        <f ca="1">SUMIFS('All Expenses'!$E$4:$E$1048576,'All Expenses'!$D$4:$D$1048576,'April - June Budget '!I28,'All Expenses'!$B$4:$B$1048576, "&gt;=" &amp; DATE(YEAR(TODAY()),5,1),'All Expenses'!$B$4:$B$1048576, "&lt;=" &amp; DATE(YEAR(TODAY()),5,31))</f>
        <v>6522</v>
      </c>
      <c r="K28" s="23">
        <f ca="1">SUMIFS('All Expenses'!$F$4:$F$1048576,'All Expenses'!$D$4:$D$1048576,'April - June Budget '!I28,'All Expenses'!$B$4:$B$1048576, "&gt;=" &amp; DATE(YEAR(TODAY()),5,1),'All Expenses'!$B$4:$B$1048576, "&lt;=" &amp; DATE(YEAR(TODAY()),5,31))</f>
        <v>1468</v>
      </c>
      <c r="M28" s="24"/>
      <c r="N28" s="25"/>
      <c r="O28" s="25" t="str">
        <v>Social Event</v>
      </c>
      <c r="P28" s="22">
        <f ca="1">SUMIFS('All Expenses'!$E$4:$E$1048576,'All Expenses'!$D$4:$D$1048576,'April - June Budget '!O28,'All Expenses'!$B$4:$B$1048576, "&gt;=" &amp; DATE(YEAR(TODAY()),6,1),'All Expenses'!$B$4:$B$1048576, "&lt;=" &amp; DATE(YEAR(TODAY()),6,30))</f>
        <v>0</v>
      </c>
      <c r="Q28" s="23">
        <f ca="1">SUMIFS('All Expenses'!$F$4:$F$1048576,'All Expenses'!$D$4:$D$1048576,'April - June Budget '!O28,'All Expenses'!$B$4:$B$1048576, "&gt;=" &amp; DATE(YEAR(TODAY()),6,1),'All Expenses'!$B$4:$B$1048576, "&lt;=" &amp; DATE(YEAR(TODAY()),6,30))</f>
        <v>0</v>
      </c>
    </row>
    <row r="29" spans="1:17" s="38" customFormat="1" ht="15.75" thickBot="1">
      <c r="A29" s="24"/>
      <c r="B29" s="25"/>
      <c r="C29" s="25" t="str">
        <v>Student Loans</v>
      </c>
      <c r="D29" s="22">
        <f ca="1">SUMIFS('All Expenses'!$E$4:$E$1048576,'All Expenses'!$D$4:$D$1048576,'April - June Budget '!C29,'All Expenses'!$B$4:$B$1048576, "&gt;=" &amp; DATE(YEAR(TODAY()),4,1),'All Expenses'!$B$4:$B$1048576, "&lt;=" &amp; DATE(YEAR(TODAY()),4,30))</f>
        <v>0</v>
      </c>
      <c r="E29" s="23">
        <f ca="1">SUMIFS('All Expenses'!$F$4:$F$1048576,'All Expenses'!$D$4:$D$1048576,'April - June Budget '!C29,'All Expenses'!$B$4:$B$1048576, "&gt;=" &amp; DATE(YEAR(TODAY()),4,1),'All Expenses'!$B$4:$B$1048576, "&lt;=" &amp; DATE(YEAR(TODAY()),4,30))</f>
        <v>0</v>
      </c>
      <c r="G29" s="24"/>
      <c r="H29" s="25"/>
      <c r="I29" s="25" t="str">
        <v>Student Loans</v>
      </c>
      <c r="J29" s="22">
        <f ca="1">SUMIFS('All Expenses'!$E$4:$E$1048576,'All Expenses'!$D$4:$D$1048576,'April - June Budget '!I29,'All Expenses'!$B$4:$B$1048576, "&gt;=" &amp; DATE(YEAR(TODAY()),5,1),'All Expenses'!$B$4:$B$1048576, "&lt;=" &amp; DATE(YEAR(TODAY()),5,31))</f>
        <v>0</v>
      </c>
      <c r="K29" s="23">
        <f ca="1">SUMIFS('All Expenses'!$F$4:$F$1048576,'All Expenses'!$D$4:$D$1048576,'April - June Budget '!I29,'All Expenses'!$B$4:$B$1048576, "&gt;=" &amp; DATE(YEAR(TODAY()),5,1),'All Expenses'!$B$4:$B$1048576, "&lt;=" &amp; DATE(YEAR(TODAY()),5,31))</f>
        <v>0</v>
      </c>
      <c r="M29" s="24"/>
      <c r="N29" s="25"/>
      <c r="O29" s="25" t="str">
        <v>Student Loans</v>
      </c>
      <c r="P29" s="22">
        <f ca="1">SUMIFS('All Expenses'!$E$4:$E$1048576,'All Expenses'!$D$4:$D$1048576,'April - June Budget '!O29,'All Expenses'!$B$4:$B$1048576, "&gt;=" &amp; DATE(YEAR(TODAY()),6,1),'All Expenses'!$B$4:$B$1048576, "&lt;=" &amp; DATE(YEAR(TODAY()),6,30))</f>
        <v>3227</v>
      </c>
      <c r="Q29" s="23">
        <f ca="1">SUMIFS('All Expenses'!$F$4:$F$1048576,'All Expenses'!$D$4:$D$1048576,'April - June Budget '!O29,'All Expenses'!$B$4:$B$1048576, "&gt;=" &amp; DATE(YEAR(TODAY()),6,1),'All Expenses'!$B$4:$B$1048576, "&lt;=" &amp; DATE(YEAR(TODAY()),6,30))</f>
        <v>56</v>
      </c>
    </row>
    <row r="30" spans="1:17" s="38" customFormat="1" ht="15.75" thickBot="1">
      <c r="A30" s="24"/>
      <c r="B30" s="25"/>
      <c r="C30" s="25" t="str">
        <v>Personal Loans</v>
      </c>
      <c r="D30" s="22">
        <f ca="1">SUMIFS('All Expenses'!$E$4:$E$1048576,'All Expenses'!$D$4:$D$1048576,'April - June Budget '!C30,'All Expenses'!$B$4:$B$1048576, "&gt;=" &amp; DATE(YEAR(TODAY()),4,1),'All Expenses'!$B$4:$B$1048576, "&lt;=" &amp; DATE(YEAR(TODAY()),4,30))</f>
        <v>7654</v>
      </c>
      <c r="E30" s="23">
        <f ca="1">SUMIFS('All Expenses'!$F$4:$F$1048576,'All Expenses'!$D$4:$D$1048576,'April - June Budget '!C30,'All Expenses'!$B$4:$B$1048576, "&gt;=" &amp; DATE(YEAR(TODAY()),4,1),'All Expenses'!$B$4:$B$1048576, "&lt;=" &amp; DATE(YEAR(TODAY()),4,30))</f>
        <v>5456</v>
      </c>
      <c r="G30" s="24"/>
      <c r="H30" s="25"/>
      <c r="I30" s="25" t="str">
        <v>Personal Loans</v>
      </c>
      <c r="J30" s="22">
        <f ca="1">SUMIFS('All Expenses'!$E$4:$E$1048576,'All Expenses'!$D$4:$D$1048576,'April - June Budget '!I30,'All Expenses'!$B$4:$B$1048576, "&gt;=" &amp; DATE(YEAR(TODAY()),5,1),'All Expenses'!$B$4:$B$1048576, "&lt;=" &amp; DATE(YEAR(TODAY()),5,31))</f>
        <v>0</v>
      </c>
      <c r="K30" s="23">
        <f ca="1">SUMIFS('All Expenses'!$F$4:$F$1048576,'All Expenses'!$D$4:$D$1048576,'April - June Budget '!I30,'All Expenses'!$B$4:$B$1048576, "&gt;=" &amp; DATE(YEAR(TODAY()),5,1),'All Expenses'!$B$4:$B$1048576, "&lt;=" &amp; DATE(YEAR(TODAY()),5,31))</f>
        <v>0</v>
      </c>
      <c r="M30" s="24"/>
      <c r="N30" s="25"/>
      <c r="O30" s="25" t="str">
        <v>Personal Loans</v>
      </c>
      <c r="P30" s="22">
        <f ca="1">SUMIFS('All Expenses'!$E$4:$E$1048576,'All Expenses'!$D$4:$D$1048576,'April - June Budget '!O30,'All Expenses'!$B$4:$B$1048576, "&gt;=" &amp; DATE(YEAR(TODAY()),6,1),'All Expenses'!$B$4:$B$1048576, "&lt;=" &amp; DATE(YEAR(TODAY()),6,30))</f>
        <v>0</v>
      </c>
      <c r="Q30" s="23">
        <f ca="1">SUMIFS('All Expenses'!$F$4:$F$1048576,'All Expenses'!$D$4:$D$1048576,'April - June Budget '!O30,'All Expenses'!$B$4:$B$1048576, "&gt;=" &amp; DATE(YEAR(TODAY()),6,1),'All Expenses'!$B$4:$B$1048576, "&lt;=" &amp; DATE(YEAR(TODAY()),6,30))</f>
        <v>0</v>
      </c>
    </row>
    <row r="31" spans="1:17" s="38" customFormat="1" ht="15.75" thickBot="1">
      <c r="A31" s="24"/>
      <c r="B31" s="25"/>
      <c r="C31" s="25" t="str">
        <v>Credit Card Expenses</v>
      </c>
      <c r="D31" s="22">
        <f ca="1">SUMIFS('All Expenses'!$E$4:$E$1048576,'All Expenses'!$D$4:$D$1048576,'April - June Budget '!C31,'All Expenses'!$B$4:$B$1048576, "&gt;=" &amp; DATE(YEAR(TODAY()),4,1),'All Expenses'!$B$4:$B$1048576, "&lt;=" &amp; DATE(YEAR(TODAY()),4,30))</f>
        <v>0</v>
      </c>
      <c r="E31" s="23">
        <f ca="1">SUMIFS('All Expenses'!$F$4:$F$1048576,'All Expenses'!$D$4:$D$1048576,'April - June Budget '!C31,'All Expenses'!$B$4:$B$1048576, "&gt;=" &amp; DATE(YEAR(TODAY()),4,1),'All Expenses'!$B$4:$B$1048576, "&lt;=" &amp; DATE(YEAR(TODAY()),4,30))</f>
        <v>0</v>
      </c>
      <c r="G31" s="24"/>
      <c r="H31" s="25"/>
      <c r="I31" s="25" t="str">
        <v>Credit Card Expenses</v>
      </c>
      <c r="J31" s="22">
        <f ca="1">SUMIFS('All Expenses'!$E$4:$E$1048576,'All Expenses'!$D$4:$D$1048576,'April - June Budget '!I31,'All Expenses'!$B$4:$B$1048576, "&gt;=" &amp; DATE(YEAR(TODAY()),5,1),'All Expenses'!$B$4:$B$1048576, "&lt;=" &amp; DATE(YEAR(TODAY()),5,31))</f>
        <v>2645</v>
      </c>
      <c r="K31" s="23">
        <f ca="1">SUMIFS('All Expenses'!$F$4:$F$1048576,'All Expenses'!$D$4:$D$1048576,'April - June Budget '!I31,'All Expenses'!$B$4:$B$1048576, "&gt;=" &amp; DATE(YEAR(TODAY()),5,1),'All Expenses'!$B$4:$B$1048576, "&lt;=" &amp; DATE(YEAR(TODAY()),5,31))</f>
        <v>6675</v>
      </c>
      <c r="M31" s="24"/>
      <c r="N31" s="25"/>
      <c r="O31" s="25" t="str">
        <v>Credit Card Expenses</v>
      </c>
      <c r="P31" s="22">
        <f ca="1">SUMIFS('All Expenses'!$E$4:$E$1048576,'All Expenses'!$D$4:$D$1048576,'April - June Budget '!O31,'All Expenses'!$B$4:$B$1048576, "&gt;=" &amp; DATE(YEAR(TODAY()),6,1),'All Expenses'!$B$4:$B$1048576, "&lt;=" &amp; DATE(YEAR(TODAY()),6,30))</f>
        <v>0</v>
      </c>
      <c r="Q31" s="23">
        <f ca="1">SUMIFS('All Expenses'!$F$4:$F$1048576,'All Expenses'!$D$4:$D$1048576,'April - June Budget '!O31,'All Expenses'!$B$4:$B$1048576, "&gt;=" &amp; DATE(YEAR(TODAY()),6,1),'All Expenses'!$B$4:$B$1048576, "&lt;=" &amp; DATE(YEAR(TODAY()),6,30))</f>
        <v>0</v>
      </c>
    </row>
    <row r="32" spans="1:17" s="38" customFormat="1" ht="15.75" thickBot="1">
      <c r="A32" s="24"/>
      <c r="B32" s="25"/>
      <c r="C32" s="25" t="str">
        <v xml:space="preserve">Clothing </v>
      </c>
      <c r="D32" s="22">
        <f ca="1">SUMIFS('All Expenses'!$E$4:$E$1048576,'All Expenses'!$D$4:$D$1048576,'April - June Budget '!C32,'All Expenses'!$B$4:$B$1048576, "&gt;=" &amp; DATE(YEAR(TODAY()),4,1),'All Expenses'!$B$4:$B$1048576, "&lt;=" &amp; DATE(YEAR(TODAY()),4,30))</f>
        <v>0</v>
      </c>
      <c r="E32" s="23">
        <f ca="1">SUMIFS('All Expenses'!$F$4:$F$1048576,'All Expenses'!$D$4:$D$1048576,'April - June Budget '!C32,'All Expenses'!$B$4:$B$1048576, "&gt;=" &amp; DATE(YEAR(TODAY()),4,1),'All Expenses'!$B$4:$B$1048576, "&lt;=" &amp; DATE(YEAR(TODAY()),4,30))</f>
        <v>0</v>
      </c>
      <c r="G32" s="24"/>
      <c r="H32" s="25"/>
      <c r="I32" s="25" t="str">
        <v xml:space="preserve">Clothing </v>
      </c>
      <c r="J32" s="22">
        <f ca="1">SUMIFS('All Expenses'!$E$4:$E$1048576,'All Expenses'!$D$4:$D$1048576,'April - June Budget '!I32,'All Expenses'!$B$4:$B$1048576, "&gt;=" &amp; DATE(YEAR(TODAY()),5,1),'All Expenses'!$B$4:$B$1048576, "&lt;=" &amp; DATE(YEAR(TODAY()),5,31))</f>
        <v>8011</v>
      </c>
      <c r="K32" s="23">
        <f ca="1">SUMIFS('All Expenses'!$F$4:$F$1048576,'All Expenses'!$D$4:$D$1048576,'April - June Budget '!I32,'All Expenses'!$B$4:$B$1048576, "&gt;=" &amp; DATE(YEAR(TODAY()),5,1),'All Expenses'!$B$4:$B$1048576, "&lt;=" &amp; DATE(YEAR(TODAY()),5,31))</f>
        <v>6568</v>
      </c>
      <c r="M32" s="24"/>
      <c r="N32" s="25"/>
      <c r="O32" s="25" t="str">
        <v xml:space="preserve">Clothing </v>
      </c>
      <c r="P32" s="22">
        <f ca="1">SUMIFS('All Expenses'!$E$4:$E$1048576,'All Expenses'!$D$4:$D$1048576,'April - June Budget '!O32,'All Expenses'!$B$4:$B$1048576, "&gt;=" &amp; DATE(YEAR(TODAY()),6,1),'All Expenses'!$B$4:$B$1048576, "&lt;=" &amp; DATE(YEAR(TODAY()),6,30))</f>
        <v>0</v>
      </c>
      <c r="Q32" s="23">
        <f ca="1">SUMIFS('All Expenses'!$F$4:$F$1048576,'All Expenses'!$D$4:$D$1048576,'April - June Budget '!O32,'All Expenses'!$B$4:$B$1048576, "&gt;=" &amp; DATE(YEAR(TODAY()),6,1),'All Expenses'!$B$4:$B$1048576, "&lt;=" &amp; DATE(YEAR(TODAY()),6,30))</f>
        <v>0</v>
      </c>
    </row>
    <row r="33" spans="1:17" s="38" customFormat="1" ht="15.75" thickBot="1">
      <c r="A33" s="24"/>
      <c r="B33" s="25"/>
      <c r="C33" s="25" t="str">
        <v>Well Being</v>
      </c>
      <c r="D33" s="22">
        <f ca="1">SUMIFS('All Expenses'!$E$4:$E$1048576,'All Expenses'!$D$4:$D$1048576,'April - June Budget '!C33,'All Expenses'!$B$4:$B$1048576, "&gt;=" &amp; DATE(YEAR(TODAY()),4,1),'All Expenses'!$B$4:$B$1048576, "&lt;=" &amp; DATE(YEAR(TODAY()),4,30))</f>
        <v>0</v>
      </c>
      <c r="E33" s="23">
        <f ca="1">SUMIFS('All Expenses'!$F$4:$F$1048576,'All Expenses'!$D$4:$D$1048576,'April - June Budget '!C33,'All Expenses'!$B$4:$B$1048576, "&gt;=" &amp; DATE(YEAR(TODAY()),4,1),'All Expenses'!$B$4:$B$1048576, "&lt;=" &amp; DATE(YEAR(TODAY()),4,30))</f>
        <v>0</v>
      </c>
      <c r="G33" s="24"/>
      <c r="H33" s="25"/>
      <c r="I33" s="25" t="str">
        <v>Well Being</v>
      </c>
      <c r="J33" s="22">
        <f ca="1">SUMIFS('All Expenses'!$E$4:$E$1048576,'All Expenses'!$D$4:$D$1048576,'April - June Budget '!I33,'All Expenses'!$B$4:$B$1048576, "&gt;=" &amp; DATE(YEAR(TODAY()),5,1),'All Expenses'!$B$4:$B$1048576, "&lt;=" &amp; DATE(YEAR(TODAY()),5,31))</f>
        <v>0</v>
      </c>
      <c r="K33" s="23">
        <f ca="1">SUMIFS('All Expenses'!$F$4:$F$1048576,'All Expenses'!$D$4:$D$1048576,'April - June Budget '!I33,'All Expenses'!$B$4:$B$1048576, "&gt;=" &amp; DATE(YEAR(TODAY()),5,1),'All Expenses'!$B$4:$B$1048576, "&lt;=" &amp; DATE(YEAR(TODAY()),5,31))</f>
        <v>0</v>
      </c>
      <c r="M33" s="24"/>
      <c r="N33" s="25"/>
      <c r="O33" s="25" t="str">
        <v>Well Being</v>
      </c>
      <c r="P33" s="22">
        <f ca="1">SUMIFS('All Expenses'!$E$4:$E$1048576,'All Expenses'!$D$4:$D$1048576,'April - June Budget '!O33,'All Expenses'!$B$4:$B$1048576, "&gt;=" &amp; DATE(YEAR(TODAY()),6,1),'All Expenses'!$B$4:$B$1048576, "&lt;=" &amp; DATE(YEAR(TODAY()),6,30))</f>
        <v>9169</v>
      </c>
      <c r="Q33" s="23">
        <f ca="1">SUMIFS('All Expenses'!$F$4:$F$1048576,'All Expenses'!$D$4:$D$1048576,'April - June Budget '!O33,'All Expenses'!$B$4:$B$1048576, "&gt;=" &amp; DATE(YEAR(TODAY()),6,1),'All Expenses'!$B$4:$B$1048576, "&lt;=" &amp; DATE(YEAR(TODAY()),6,30))</f>
        <v>8344</v>
      </c>
    </row>
    <row r="34" spans="1:17" s="38" customFormat="1" ht="15.75" thickBot="1">
      <c r="A34" s="24"/>
      <c r="B34" s="25"/>
      <c r="C34" s="25" t="str">
        <v>Personal Hygiene</v>
      </c>
      <c r="D34" s="22">
        <f ca="1">SUMIFS('All Expenses'!$E$4:$E$1048576,'All Expenses'!$D$4:$D$1048576,'April - June Budget '!C34,'All Expenses'!$B$4:$B$1048576, "&gt;=" &amp; DATE(YEAR(TODAY()),4,1),'All Expenses'!$B$4:$B$1048576, "&lt;=" &amp; DATE(YEAR(TODAY()),4,30))</f>
        <v>0</v>
      </c>
      <c r="E34" s="23">
        <f ca="1">SUMIFS('All Expenses'!$F$4:$F$1048576,'All Expenses'!$D$4:$D$1048576,'April - June Budget '!C34,'All Expenses'!$B$4:$B$1048576, "&gt;=" &amp; DATE(YEAR(TODAY()),4,1),'All Expenses'!$B$4:$B$1048576, "&lt;=" &amp; DATE(YEAR(TODAY()),4,30))</f>
        <v>0</v>
      </c>
      <c r="G34" s="24"/>
      <c r="H34" s="25"/>
      <c r="I34" s="25" t="str">
        <v>Personal Hygiene</v>
      </c>
      <c r="J34" s="22">
        <f ca="1">SUMIFS('All Expenses'!$E$4:$E$1048576,'All Expenses'!$D$4:$D$1048576,'April - June Budget '!I34,'All Expenses'!$B$4:$B$1048576, "&gt;=" &amp; DATE(YEAR(TODAY()),5,1),'All Expenses'!$B$4:$B$1048576, "&lt;=" &amp; DATE(YEAR(TODAY()),5,31))</f>
        <v>0</v>
      </c>
      <c r="K34" s="23">
        <f ca="1">SUMIFS('All Expenses'!$F$4:$F$1048576,'All Expenses'!$D$4:$D$1048576,'April - June Budget '!I34,'All Expenses'!$B$4:$B$1048576, "&gt;=" &amp; DATE(YEAR(TODAY()),5,1),'All Expenses'!$B$4:$B$1048576, "&lt;=" &amp; DATE(YEAR(TODAY()),5,31))</f>
        <v>0</v>
      </c>
      <c r="M34" s="24"/>
      <c r="N34" s="25"/>
      <c r="O34" s="25" t="str">
        <v>Personal Hygiene</v>
      </c>
      <c r="P34" s="22">
        <f ca="1">SUMIFS('All Expenses'!$E$4:$E$1048576,'All Expenses'!$D$4:$D$1048576,'April - June Budget '!O34,'All Expenses'!$B$4:$B$1048576, "&gt;=" &amp; DATE(YEAR(TODAY()),6,1),'All Expenses'!$B$4:$B$1048576, "&lt;=" &amp; DATE(YEAR(TODAY()),6,30))</f>
        <v>0</v>
      </c>
      <c r="Q34" s="23">
        <f ca="1">SUMIFS('All Expenses'!$F$4:$F$1048576,'All Expenses'!$D$4:$D$1048576,'April - June Budget '!O34,'All Expenses'!$B$4:$B$1048576, "&gt;=" &amp; DATE(YEAR(TODAY()),6,1),'All Expenses'!$B$4:$B$1048576, "&lt;=" &amp; DATE(YEAR(TODAY()),6,30))</f>
        <v>0</v>
      </c>
    </row>
    <row r="35" spans="1:17" s="38" customFormat="1" ht="15.75" thickBot="1">
      <c r="A35" s="28"/>
      <c r="B35" s="29"/>
      <c r="C35" s="29" t="str">
        <v>Misc.</v>
      </c>
      <c r="D35" s="22">
        <f ca="1">SUMIFS('All Expenses'!$E$4:$E$1048576,'All Expenses'!$D$4:$D$1048576,'April - June Budget '!C35,'All Expenses'!$B$4:$B$1048576, "&gt;=" &amp; DATE(YEAR(TODAY()),4,1),'All Expenses'!$B$4:$B$1048576, "&lt;=" &amp; DATE(YEAR(TODAY()),4,30))</f>
        <v>6027</v>
      </c>
      <c r="E35" s="23">
        <f ca="1">SUMIFS('All Expenses'!$F$4:$F$1048576,'All Expenses'!$D$4:$D$1048576,'April - June Budget '!C35,'All Expenses'!$B$4:$B$1048576, "&gt;=" &amp; DATE(YEAR(TODAY()),4,1),'All Expenses'!$B$4:$B$1048576, "&lt;=" &amp; DATE(YEAR(TODAY()),4,30))</f>
        <v>7189</v>
      </c>
      <c r="G35" s="28"/>
      <c r="H35" s="29"/>
      <c r="I35" s="29" t="str">
        <v>Misc.</v>
      </c>
      <c r="J35" s="22">
        <f ca="1">SUMIFS('All Expenses'!$E$4:$E$1048576,'All Expenses'!$D$4:$D$1048576,'April - June Budget '!I35,'All Expenses'!$B$4:$B$1048576, "&gt;=" &amp; DATE(YEAR(TODAY()),5,1),'All Expenses'!$B$4:$B$1048576, "&lt;=" &amp; DATE(YEAR(TODAY()),5,31))</f>
        <v>3375</v>
      </c>
      <c r="K35" s="23">
        <f ca="1">SUMIFS('All Expenses'!$F$4:$F$1048576,'All Expenses'!$D$4:$D$1048576,'April - June Budget '!I35,'All Expenses'!$B$4:$B$1048576, "&gt;=" &amp; DATE(YEAR(TODAY()),5,1),'All Expenses'!$B$4:$B$1048576, "&lt;=" &amp; DATE(YEAR(TODAY()),5,31))</f>
        <v>7082</v>
      </c>
      <c r="M35" s="28"/>
      <c r="N35" s="29"/>
      <c r="O35" s="29" t="str">
        <v>Misc.</v>
      </c>
      <c r="P35" s="22">
        <f ca="1">SUMIFS('All Expenses'!$E$4:$E$1048576,'All Expenses'!$D$4:$D$1048576,'April - June Budget '!O35,'All Expenses'!$B$4:$B$1048576, "&gt;=" &amp; DATE(YEAR(TODAY()),6,1),'All Expenses'!$B$4:$B$1048576, "&lt;=" &amp; DATE(YEAR(TODAY()),6,30))</f>
        <v>0</v>
      </c>
      <c r="Q35" s="23">
        <f ca="1">SUMIFS('All Expenses'!$F$4:$F$1048576,'All Expenses'!$D$4:$D$1048576,'April - June Budget '!O35,'All Expenses'!$B$4:$B$1048576, "&gt;=" &amp; DATE(YEAR(TODAY()),6,1),'All Expenses'!$B$4:$B$1048576, "&lt;=" &amp; DATE(YEAR(TODAY()),6,30))</f>
        <v>0</v>
      </c>
    </row>
    <row r="36" spans="1:17" s="38" customFormat="1" ht="15"/>
  </sheetData>
  <mergeCells count="4">
    <mergeCell ref="A1:Q1"/>
    <mergeCell ref="A4:E4"/>
    <mergeCell ref="G4:K4"/>
    <mergeCell ref="M4:Q4"/>
  </mergeCells>
  <conditionalFormatting sqref="D7:D35">
    <cfRule type="expression" dxfId="3" priority="3">
      <formula>D7&gt;E7</formula>
    </cfRule>
  </conditionalFormatting>
  <conditionalFormatting sqref="J7:J35">
    <cfRule type="expression" dxfId="2" priority="2">
      <formula>J7&gt;K7</formula>
    </cfRule>
  </conditionalFormatting>
  <conditionalFormatting sqref="P7:P35">
    <cfRule type="expression" dxfId="1" priority="1">
      <formula>P7&gt;Q7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27347-512D-4369-ADBF-3ABF6E55EEF5}">
  <sheetPr codeName="Sheet7"/>
  <dimension ref="A1:F14"/>
  <sheetViews>
    <sheetView workbookViewId="0">
      <selection activeCell="E6" sqref="E6"/>
    </sheetView>
  </sheetViews>
  <sheetFormatPr defaultColWidth="8.75" defaultRowHeight="14.25"/>
  <cols>
    <col min="1" max="1" width="17.25" style="1" bestFit="1" customWidth="1"/>
    <col min="2" max="2" width="12.75" style="1" bestFit="1" customWidth="1"/>
    <col min="3" max="3" width="11.25" style="1" bestFit="1" customWidth="1"/>
    <col min="4" max="4" width="10.625" style="1" bestFit="1" customWidth="1"/>
    <col min="5" max="5" width="11.25" style="1" bestFit="1" customWidth="1"/>
    <col min="6" max="6" width="15.375" style="1" bestFit="1" customWidth="1"/>
    <col min="7" max="16384" width="8.75" style="1"/>
  </cols>
  <sheetData>
    <row r="1" spans="1:6" ht="15">
      <c r="A1" s="43" t="s">
        <v>76</v>
      </c>
      <c r="B1" s="43" t="s">
        <v>26</v>
      </c>
    </row>
    <row r="2" spans="1:6" ht="15">
      <c r="A2" s="43" t="s">
        <v>77</v>
      </c>
      <c r="B2" s="41">
        <v>44927</v>
      </c>
    </row>
    <row r="3" spans="1:6" ht="15">
      <c r="A3" s="43" t="s">
        <v>87</v>
      </c>
      <c r="B3" s="40">
        <v>5</v>
      </c>
    </row>
    <row r="4" spans="1:6" ht="15">
      <c r="A4" s="43" t="s">
        <v>78</v>
      </c>
      <c r="B4" s="41">
        <f>B2+(B3*365)</f>
        <v>46752</v>
      </c>
    </row>
    <row r="5" spans="1:6" ht="15">
      <c r="A5" s="43" t="s">
        <v>79</v>
      </c>
      <c r="B5" s="42">
        <v>0.1</v>
      </c>
    </row>
    <row r="6" spans="1:6" ht="15">
      <c r="A6" s="43" t="s">
        <v>80</v>
      </c>
      <c r="B6" s="51">
        <v>100000</v>
      </c>
    </row>
    <row r="7" spans="1:6" ht="15">
      <c r="A7" s="43" t="s">
        <v>81</v>
      </c>
      <c r="B7" s="40">
        <v>1</v>
      </c>
    </row>
    <row r="8" spans="1:6" ht="15" thickBot="1"/>
    <row r="9" spans="1:6" ht="15" thickBot="1">
      <c r="A9" s="48" t="s">
        <v>88</v>
      </c>
      <c r="B9" s="49" t="s">
        <v>82</v>
      </c>
      <c r="C9" s="49" t="s">
        <v>83</v>
      </c>
      <c r="D9" s="49" t="s">
        <v>84</v>
      </c>
      <c r="E9" s="49" t="s">
        <v>85</v>
      </c>
      <c r="F9" s="50" t="s">
        <v>86</v>
      </c>
    </row>
    <row r="10" spans="1:6">
      <c r="A10" s="45">
        <f>$B$2+(365*B10)</f>
        <v>45292</v>
      </c>
      <c r="B10" s="46">
        <v>1</v>
      </c>
      <c r="C10" s="47">
        <f>-PMT($B$5/$B$7,$B$7*$B$3,$B$6)</f>
        <v>26379.748079474539</v>
      </c>
      <c r="D10" s="47">
        <f>-IPMT(B$5,B10,B$7*B$3,B$6)</f>
        <v>10000</v>
      </c>
      <c r="E10" s="47">
        <f>C10-D10</f>
        <v>16379.748079474539</v>
      </c>
      <c r="F10" s="47">
        <f>B6-E10</f>
        <v>83620.251920525465</v>
      </c>
    </row>
    <row r="11" spans="1:6">
      <c r="A11" s="41">
        <f>IF(F10=0,"",$B$2+(365*B11+1))</f>
        <v>45658</v>
      </c>
      <c r="B11" s="40">
        <v>2</v>
      </c>
      <c r="C11" s="44">
        <f>-PMT($B$5/$B$7,$B$7*$B$3,$B$6)</f>
        <v>26379.748079474539</v>
      </c>
      <c r="D11" s="44">
        <f>-IPMT(B$5,B11,B$7*B$3,B$6)</f>
        <v>8362.0251920525461</v>
      </c>
      <c r="E11" s="44">
        <f>C11-D11</f>
        <v>18017.722887421995</v>
      </c>
      <c r="F11" s="44">
        <f>F10-E11</f>
        <v>65602.529033103463</v>
      </c>
    </row>
    <row r="12" spans="1:6">
      <c r="A12" s="41">
        <f>IF(F11=0,"",$B$2+(365*B12+1))</f>
        <v>46023</v>
      </c>
      <c r="B12" s="40">
        <v>3</v>
      </c>
      <c r="C12" s="44">
        <f>-PMT($B$5/$B$7,$B$7*$B$3,$B$6)</f>
        <v>26379.748079474539</v>
      </c>
      <c r="D12" s="44">
        <f>-IPMT(B$5,B12,B$7*B$3,B$6)</f>
        <v>6560.2529033103465</v>
      </c>
      <c r="E12" s="44">
        <f>C12-D12</f>
        <v>19819.495176164193</v>
      </c>
      <c r="F12" s="44">
        <f>F11-E12</f>
        <v>45783.03385693927</v>
      </c>
    </row>
    <row r="13" spans="1:6">
      <c r="A13" s="41">
        <f>IF(F12=0,"",$B$2+(365*B13+1))</f>
        <v>46388</v>
      </c>
      <c r="B13" s="40">
        <v>4</v>
      </c>
      <c r="C13" s="44">
        <f>-PMT($B$5/$B$7,$B$7*$B$3,$B$6)</f>
        <v>26379.748079474539</v>
      </c>
      <c r="D13" s="44">
        <f>-IPMT(B$5,B13,B$7*B$3,B$6)</f>
        <v>4578.3033856939282</v>
      </c>
      <c r="E13" s="44">
        <f>C13-D13</f>
        <v>21801.44469378061</v>
      </c>
      <c r="F13" s="44">
        <f>F12-E13</f>
        <v>23981.58916315866</v>
      </c>
    </row>
    <row r="14" spans="1:6">
      <c r="A14" s="41">
        <f>IF(F13=0,"",$B$2+(365*B14+1))</f>
        <v>46753</v>
      </c>
      <c r="B14" s="40">
        <v>5</v>
      </c>
      <c r="C14" s="44">
        <f>-PMT($B$5/$B$7,$B$7*$B$3,$B$6)</f>
        <v>26379.748079474539</v>
      </c>
      <c r="D14" s="44">
        <f>-IPMT(B$5,B14,B$7*B$3,B$6)</f>
        <v>2398.1589163158669</v>
      </c>
      <c r="E14" s="44">
        <f>C14-D14</f>
        <v>23981.589163158671</v>
      </c>
      <c r="F14" s="44">
        <f>F13-E14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5A3EB4F-AAA6-418B-B228-419D556CC5CE}">
          <x14:formula1>
            <xm:f>Categories!$H$3:$H$16</xm:f>
          </x14:formula1>
          <xm:sqref>B1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6AA4A-41BF-4283-ABB6-7D9D29C193C9}">
  <sheetPr codeName="Sheet4"/>
  <dimension ref="B1:J9"/>
  <sheetViews>
    <sheetView topLeftCell="D1" zoomScale="80" workbookViewId="0"/>
  </sheetViews>
  <sheetFormatPr defaultColWidth="8.75" defaultRowHeight="14.25"/>
  <cols>
    <col min="1" max="1" width="9.75" style="1" customWidth="1"/>
    <col min="2" max="2" width="20.25" style="3" bestFit="1" customWidth="1"/>
    <col min="3" max="3" width="21" style="4" bestFit="1" customWidth="1"/>
    <col min="4" max="4" width="20.25" style="3" bestFit="1" customWidth="1"/>
    <col min="5" max="5" width="21" style="4" bestFit="1" customWidth="1"/>
    <col min="6" max="6" width="20.25" style="3" bestFit="1" customWidth="1"/>
    <col min="7" max="7" width="27.75" style="4" bestFit="1" customWidth="1"/>
    <col min="8" max="8" width="20.25" style="3" bestFit="1" customWidth="1"/>
    <col min="9" max="9" width="21" style="4" bestFit="1" customWidth="1"/>
    <col min="10" max="10" width="23.25" style="6" customWidth="1"/>
    <col min="11" max="16384" width="8.75" style="1"/>
  </cols>
  <sheetData>
    <row r="1" spans="2:10" ht="15" thickBot="1">
      <c r="B1" s="73" t="s">
        <v>50</v>
      </c>
      <c r="C1" s="74"/>
      <c r="D1" s="74"/>
      <c r="E1" s="74"/>
      <c r="F1" s="74"/>
      <c r="G1" s="74"/>
      <c r="H1" s="74"/>
      <c r="I1" s="75"/>
      <c r="J1" s="7" t="s">
        <v>52</v>
      </c>
    </row>
    <row r="2" spans="2:10" ht="15" thickBot="1">
      <c r="B2" s="2" t="s">
        <v>5</v>
      </c>
      <c r="C2" s="2" t="s">
        <v>6</v>
      </c>
      <c r="D2" s="2" t="s">
        <v>7</v>
      </c>
      <c r="E2" s="2" t="s">
        <v>8</v>
      </c>
      <c r="F2" s="2" t="s">
        <v>9</v>
      </c>
      <c r="G2" s="2" t="s">
        <v>40</v>
      </c>
      <c r="H2" s="2" t="s">
        <v>41</v>
      </c>
      <c r="I2" s="2" t="s">
        <v>10</v>
      </c>
      <c r="J2" s="5" t="s">
        <v>51</v>
      </c>
    </row>
    <row r="3" spans="2:10">
      <c r="B3" s="3" t="s">
        <v>11</v>
      </c>
      <c r="C3" s="4" t="s">
        <v>13</v>
      </c>
      <c r="D3" s="3" t="s">
        <v>17</v>
      </c>
      <c r="E3" s="4" t="s">
        <v>19</v>
      </c>
      <c r="F3" s="3" t="s">
        <v>23</v>
      </c>
      <c r="G3" s="4" t="s">
        <v>33</v>
      </c>
      <c r="H3" s="3" t="s">
        <v>26</v>
      </c>
      <c r="I3" s="4" t="s">
        <v>29</v>
      </c>
      <c r="J3" s="8" t="s">
        <v>53</v>
      </c>
    </row>
    <row r="4" spans="2:10">
      <c r="B4" s="3" t="s">
        <v>12</v>
      </c>
      <c r="C4" s="4" t="s">
        <v>14</v>
      </c>
      <c r="D4" s="3" t="s">
        <v>18</v>
      </c>
      <c r="E4" s="4" t="s">
        <v>20</v>
      </c>
      <c r="F4" s="3" t="s">
        <v>24</v>
      </c>
      <c r="G4" s="4" t="s">
        <v>34</v>
      </c>
      <c r="H4" s="3" t="s">
        <v>27</v>
      </c>
      <c r="I4" s="4" t="s">
        <v>30</v>
      </c>
      <c r="J4" s="8" t="s">
        <v>54</v>
      </c>
    </row>
    <row r="5" spans="2:10">
      <c r="C5" s="4" t="s">
        <v>15</v>
      </c>
      <c r="E5" s="4" t="s">
        <v>21</v>
      </c>
      <c r="F5" s="3" t="s">
        <v>25</v>
      </c>
      <c r="G5" s="4" t="s">
        <v>35</v>
      </c>
      <c r="H5" s="3" t="s">
        <v>28</v>
      </c>
      <c r="I5" s="4" t="s">
        <v>31</v>
      </c>
      <c r="J5" s="8" t="s">
        <v>55</v>
      </c>
    </row>
    <row r="6" spans="2:10">
      <c r="C6" s="4" t="s">
        <v>16</v>
      </c>
      <c r="E6" s="4" t="s">
        <v>22</v>
      </c>
      <c r="G6" s="4" t="s">
        <v>36</v>
      </c>
      <c r="I6" s="4" t="s">
        <v>32</v>
      </c>
      <c r="J6" s="8" t="s">
        <v>56</v>
      </c>
    </row>
    <row r="7" spans="2:10">
      <c r="G7" s="4" t="s">
        <v>37</v>
      </c>
    </row>
    <row r="8" spans="2:10">
      <c r="G8" s="4" t="s">
        <v>38</v>
      </c>
    </row>
    <row r="9" spans="2:10">
      <c r="G9" s="4" t="s">
        <v>39</v>
      </c>
    </row>
  </sheetData>
  <mergeCells count="1">
    <mergeCell ref="B1:I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6DA40-AAA4-4A54-83DB-DF222EAAC2A8}">
  <sheetPr codeName="Sheet8"/>
  <dimension ref="A3:C11"/>
  <sheetViews>
    <sheetView workbookViewId="0">
      <selection activeCell="A3" sqref="A3"/>
    </sheetView>
  </sheetViews>
  <sheetFormatPr defaultRowHeight="14.25"/>
  <cols>
    <col min="1" max="1" width="13.375" bestFit="1" customWidth="1"/>
    <col min="2" max="2" width="21" bestFit="1" customWidth="1"/>
    <col min="3" max="3" width="24" bestFit="1" customWidth="1"/>
  </cols>
  <sheetData>
    <row r="3" spans="1:3">
      <c r="A3" s="9" t="s">
        <v>57</v>
      </c>
      <c r="B3" t="s">
        <v>65</v>
      </c>
      <c r="C3" t="s">
        <v>66</v>
      </c>
    </row>
    <row r="4" spans="1:3">
      <c r="A4" s="10" t="s">
        <v>59</v>
      </c>
      <c r="B4" s="62">
        <v>76486</v>
      </c>
      <c r="C4" s="62">
        <v>81943</v>
      </c>
    </row>
    <row r="5" spans="1:3">
      <c r="A5" s="10" t="s">
        <v>60</v>
      </c>
      <c r="B5" s="62">
        <v>50438</v>
      </c>
      <c r="C5" s="62">
        <v>66868</v>
      </c>
    </row>
    <row r="6" spans="1:3">
      <c r="A6" s="10" t="s">
        <v>61</v>
      </c>
      <c r="B6" s="62">
        <v>68856</v>
      </c>
      <c r="C6" s="62">
        <v>71797</v>
      </c>
    </row>
    <row r="7" spans="1:3">
      <c r="A7" s="10" t="s">
        <v>62</v>
      </c>
      <c r="B7" s="62">
        <v>68065</v>
      </c>
      <c r="C7" s="62">
        <v>57319</v>
      </c>
    </row>
    <row r="8" spans="1:3">
      <c r="A8" s="10" t="s">
        <v>46</v>
      </c>
      <c r="B8" s="62">
        <v>71873</v>
      </c>
      <c r="C8" s="62">
        <v>93262</v>
      </c>
    </row>
    <row r="9" spans="1:3">
      <c r="A9" s="10" t="s">
        <v>63</v>
      </c>
      <c r="B9" s="62">
        <v>52289</v>
      </c>
      <c r="C9" s="62">
        <v>70799</v>
      </c>
    </row>
    <row r="10" spans="1:3">
      <c r="A10" s="10" t="s">
        <v>64</v>
      </c>
      <c r="B10" s="62">
        <v>64081</v>
      </c>
      <c r="C10" s="62">
        <v>74605</v>
      </c>
    </row>
    <row r="11" spans="1:3">
      <c r="A11" s="10" t="s">
        <v>58</v>
      </c>
      <c r="B11" s="62">
        <v>452088</v>
      </c>
      <c r="C11" s="62">
        <v>516593</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4EBA0-BA10-4E76-A7E4-2C8B5D31CA3B}">
  <sheetPr codeName="Sheet9"/>
  <dimension ref="A4:B13"/>
  <sheetViews>
    <sheetView workbookViewId="0">
      <selection activeCell="A4" sqref="A4:B13"/>
    </sheetView>
  </sheetViews>
  <sheetFormatPr defaultRowHeight="14.25"/>
  <cols>
    <col min="1" max="1" width="13.125" bestFit="1" customWidth="1"/>
    <col min="2" max="2" width="20.25" bestFit="1" customWidth="1"/>
  </cols>
  <sheetData>
    <row r="4" spans="1:2">
      <c r="A4" s="9" t="s">
        <v>57</v>
      </c>
      <c r="B4" t="s">
        <v>65</v>
      </c>
    </row>
    <row r="5" spans="1:2">
      <c r="A5" s="10" t="s">
        <v>41</v>
      </c>
      <c r="B5" s="62">
        <v>60772</v>
      </c>
    </row>
    <row r="6" spans="1:2">
      <c r="A6" s="10" t="s">
        <v>7</v>
      </c>
      <c r="B6" s="62">
        <v>67082</v>
      </c>
    </row>
    <row r="7" spans="1:2">
      <c r="A7" s="10" t="s">
        <v>5</v>
      </c>
      <c r="B7" s="62">
        <v>52766</v>
      </c>
    </row>
    <row r="8" spans="1:2">
      <c r="A8" s="10" t="s">
        <v>9</v>
      </c>
      <c r="B8" s="62">
        <v>56508</v>
      </c>
    </row>
    <row r="9" spans="1:2">
      <c r="A9" s="10" t="s">
        <v>40</v>
      </c>
      <c r="B9" s="62">
        <v>43430</v>
      </c>
    </row>
    <row r="10" spans="1:2">
      <c r="A10" s="10" t="s">
        <v>10</v>
      </c>
      <c r="B10" s="62">
        <v>62496</v>
      </c>
    </row>
    <row r="11" spans="1:2">
      <c r="A11" s="10" t="s">
        <v>6</v>
      </c>
      <c r="B11" s="62">
        <v>60509</v>
      </c>
    </row>
    <row r="12" spans="1:2">
      <c r="A12" s="10" t="s">
        <v>8</v>
      </c>
      <c r="B12" s="62">
        <v>48525</v>
      </c>
    </row>
    <row r="13" spans="1:2">
      <c r="A13" s="10" t="s">
        <v>58</v>
      </c>
      <c r="B13" s="62">
        <v>452088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98989-D7C1-4723-B325-CE62FF289BCE}">
  <sheetPr codeName="Sheet10"/>
  <dimension ref="A3:B10"/>
  <sheetViews>
    <sheetView workbookViewId="0">
      <selection activeCell="A3" sqref="A3"/>
    </sheetView>
  </sheetViews>
  <sheetFormatPr defaultRowHeight="14.25"/>
  <cols>
    <col min="1" max="1" width="13.375" bestFit="1" customWidth="1"/>
    <col min="2" max="2" width="14.875" bestFit="1" customWidth="1"/>
  </cols>
  <sheetData>
    <row r="3" spans="1:2">
      <c r="A3" s="9" t="s">
        <v>57</v>
      </c>
      <c r="B3" t="s">
        <v>67</v>
      </c>
    </row>
    <row r="4" spans="1:2">
      <c r="A4" s="61">
        <v>45658</v>
      </c>
      <c r="B4" s="63">
        <v>110000</v>
      </c>
    </row>
    <row r="5" spans="1:2">
      <c r="A5" s="61">
        <v>45689</v>
      </c>
      <c r="B5" s="63">
        <v>120000</v>
      </c>
    </row>
    <row r="6" spans="1:2">
      <c r="A6" s="61">
        <v>45717</v>
      </c>
      <c r="B6" s="63">
        <v>130000</v>
      </c>
    </row>
    <row r="7" spans="1:2">
      <c r="A7" s="61">
        <v>45748</v>
      </c>
      <c r="B7" s="63">
        <v>100000</v>
      </c>
    </row>
    <row r="8" spans="1:2">
      <c r="A8" s="61">
        <v>45778</v>
      </c>
      <c r="B8" s="63">
        <v>130000</v>
      </c>
    </row>
    <row r="9" spans="1:2">
      <c r="A9" s="61">
        <v>45809</v>
      </c>
      <c r="B9" s="63">
        <v>120000</v>
      </c>
    </row>
    <row r="10" spans="1:2">
      <c r="A10" s="10" t="s">
        <v>58</v>
      </c>
      <c r="B10">
        <v>710000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vt:lpstr>
      <vt:lpstr>All Expenses</vt:lpstr>
      <vt:lpstr>Income</vt:lpstr>
      <vt:lpstr>Jan - March Budget</vt:lpstr>
      <vt:lpstr>April - June Budget </vt:lpstr>
      <vt:lpstr>Loan Sheet</vt:lpstr>
      <vt:lpstr>Categories</vt:lpstr>
      <vt:lpstr>Pivot 1</vt:lpstr>
      <vt:lpstr>Pivot 2</vt:lpstr>
      <vt:lpstr>Pivot 3</vt:lpstr>
      <vt:lpstr>Debts</vt:lpstr>
      <vt:lpstr>Food</vt:lpstr>
      <vt:lpstr>Housing</vt:lpstr>
      <vt:lpstr>Insurance</vt:lpstr>
      <vt:lpstr>Leisure</vt:lpstr>
      <vt:lpstr>Personal</vt:lpstr>
      <vt:lpstr>Transportation</vt:lpstr>
      <vt:lpstr>Utilities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Russo</dc:creator>
  <cp:lastModifiedBy>Cameron Russo</cp:lastModifiedBy>
  <dcterms:created xsi:type="dcterms:W3CDTF">2025-03-03T18:11:54Z</dcterms:created>
  <dcterms:modified xsi:type="dcterms:W3CDTF">2025-10-30T23:38:17Z</dcterms:modified>
</cp:coreProperties>
</file>